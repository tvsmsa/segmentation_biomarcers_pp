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github\segmentation_biomarcers_pp\"/>
    </mc:Choice>
  </mc:AlternateContent>
  <xr:revisionPtr revIDLastSave="0" documentId="13_ncr:1_{AEBF2C0F-E130-4297-8684-33A86C02E19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Лист1" sheetId="1" r:id="rId1"/>
    <sheet name="Лист1 (2)" sheetId="2" r:id="rId2"/>
  </sheets>
  <definedNames>
    <definedName name="FromArray_1" localSheetId="1">_xlfn.ANCHORARRAY('Лист1 (2)'!$A$32)</definedName>
    <definedName name="FromArray_1">_xlfn.ANCHORARRAY(Лист1!$B$32)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O3" i="2"/>
  <c r="P4" i="2"/>
  <c r="Q4" i="2"/>
  <c r="R4" i="2"/>
  <c r="O4" i="2"/>
  <c r="Q3" i="2"/>
  <c r="R3" i="2"/>
  <c r="B48" i="1" a="1"/>
  <c r="B49" i="1" a="1"/>
  <c r="B50" i="1" a="1"/>
  <c r="B51" i="1" a="1"/>
  <c r="B52" i="1" a="1"/>
  <c r="B53" i="1" a="1"/>
  <c r="B54" i="1" a="1"/>
  <c r="B55" i="1" a="1"/>
  <c r="B56" i="1" a="1"/>
  <c r="B57" i="1" a="1"/>
  <c r="B58" i="1" a="1"/>
  <c r="B59" i="1" a="1"/>
  <c r="B60" i="1" a="1"/>
  <c r="B61" i="1" a="1"/>
  <c r="B62" i="1" a="1"/>
  <c r="B63" i="1" a="1"/>
  <c r="B64" i="1" a="1"/>
  <c r="B65" i="1" a="1"/>
  <c r="B66" i="1" a="1"/>
  <c r="B67" i="1" a="1"/>
  <c r="B68" i="1" a="1"/>
  <c r="B69" i="1" a="1"/>
  <c r="B70" i="1" a="1"/>
  <c r="B71" i="1" a="1"/>
  <c r="B72" i="1" a="1"/>
  <c r="B73" i="1" a="1"/>
  <c r="B74" i="1" a="1"/>
  <c r="B75" i="1" a="1"/>
  <c r="B76" i="1" a="1"/>
  <c r="B77" i="1" a="1"/>
  <c r="B78" i="1" a="1"/>
  <c r="B79" i="1" a="1"/>
  <c r="B80" i="1" a="1"/>
  <c r="B81" i="1" a="1"/>
  <c r="B82" i="1" a="1"/>
  <c r="B83" i="1" a="1"/>
  <c r="B84" i="1" a="1"/>
  <c r="B85" i="1" a="1"/>
  <c r="B86" i="1" a="1"/>
  <c r="B87" i="1" a="1"/>
  <c r="B88" i="1" a="1"/>
  <c r="B89" i="1" a="1"/>
  <c r="B90" i="1" a="1"/>
  <c r="B91" i="1" a="1"/>
  <c r="B47" i="1" a="1"/>
  <c r="B1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<sst xmlns="http://schemas.openxmlformats.org/spreadsheetml/2006/main" count="438" uniqueCount="300">
  <si>
    <t>model,class_name,iou,dice,precision,recall</t>
  </si>
  <si>
    <t>Deeplab_DICE_1_Fold_2,drusen,0.33971188298597094,0.5071417030784496,0.5848729944061479,0.44764800478042593</t>
  </si>
  <si>
    <t>Deeplab_DICE_1_Fold_2,edema,0.3693288017904073,0.5394304148244121,0.5443597881058019,0.5345895148742104</t>
  </si>
  <si>
    <t>Deeplab_DICE_1_Fold_2,epiretinal_fibrosis,0.6137082691206436,0.7606186085358179,0.7017354672943479,0.8302887507165216</t>
  </si>
  <si>
    <t>Deeplab_DICE_1_Fold_2,fibrosis,0.3291532818748906,0.4952826530444859,0.62144706560015,0.4117004090632765</t>
  </si>
  <si>
    <t>Deeplab_DICE_1_Fold_2,geographic_atrophy,0.7164491782666792,0.8348038349613948,0.8118167367726684,0.8591306563483639</t>
  </si>
  <si>
    <t>Deeplab_DICE_1_Fold_2,hard_exudates,0.5827032418924245,0.7363392283138199,0.7252271738487628,0.7477971030845335</t>
  </si>
  <si>
    <t>Deeplab_DICE_1_Fold_2,hemorrhages,0.5446580654161489,0.7052150603563018,0.7274888913360983,0.684264644189612</t>
  </si>
  <si>
    <t>Deeplab_DICE_1_Fold_2,laser_coagulates,0.5413566012522176,0.7024417332269672,0.6094202882712776,0.8289759922938681</t>
  </si>
  <si>
    <t>Deeplab_DICE_1_Fold_2,macular_hole,0.7263737540369236,0.8415023135498712,0.7454420884127951,0.9659820784836819</t>
  </si>
  <si>
    <t>Deeplab_DICE_1_Fold_2,microaneurysms,0.16201700656473286,0.2788547941199298,0.3134902605246136,0.25111117994126536</t>
  </si>
  <si>
    <t>Deeplab_DICE_1_Fold_2,neovascularization,0.5859510628060817,0.7389270407490844,0.6742725887017316,0.8172956457003497</t>
  </si>
  <si>
    <t>Deeplab_DICE_1_Fold_2,soft_exudates,0.3201113912989254,0.48497633367734433,0.7147916020568866,0.366985485029057</t>
  </si>
  <si>
    <t>Deeplab_DICE_1_Fold_2,subretinal_hemorrhage,0.4988901404682895,0.6656793943716571,0.6453709029271021,0.6873075454763514</t>
  </si>
  <si>
    <t>Deeplab_DICE_1_Fold_2,venous_anomalies,0.12844030808720897,0.22764218393602922,0.31902241494704103,0.17695538754018927</t>
  </si>
  <si>
    <t>Deeplab_DICE_1_Fold_2,MEAN,0.46134664184725327,0.6084896640532546,0.6241970188003876,0.6150023141086933</t>
  </si>
  <si>
    <t>drusen</t>
  </si>
  <si>
    <t>0.33971188298597094</t>
  </si>
  <si>
    <t>0.5071417030784496</t>
  </si>
  <si>
    <t>0.5848729944061479</t>
  </si>
  <si>
    <t>0.44764800478042593</t>
  </si>
  <si>
    <t>edema</t>
  </si>
  <si>
    <t>0.3693288017904073</t>
  </si>
  <si>
    <t>0.5394304148244121</t>
  </si>
  <si>
    <t>0.5443597881058019</t>
  </si>
  <si>
    <t>0.5345895148742104</t>
  </si>
  <si>
    <t>epiretinal_fibrosis</t>
  </si>
  <si>
    <t>0.6137082691206436</t>
  </si>
  <si>
    <t>0.7606186085358179</t>
  </si>
  <si>
    <t>0.7017354672943479</t>
  </si>
  <si>
    <t>0.8302887507165216</t>
  </si>
  <si>
    <t>fibrosis</t>
  </si>
  <si>
    <t>0.3291532818748906</t>
  </si>
  <si>
    <t>0.4952826530444859</t>
  </si>
  <si>
    <t>0.62144706560015</t>
  </si>
  <si>
    <t>0.4117004090632765</t>
  </si>
  <si>
    <t>geographic_atrophy</t>
  </si>
  <si>
    <t>0.7164491782666792</t>
  </si>
  <si>
    <t>0.8348038349613948</t>
  </si>
  <si>
    <t>0.8118167367726684</t>
  </si>
  <si>
    <t>0.8591306563483639</t>
  </si>
  <si>
    <t>hard_exudates</t>
  </si>
  <si>
    <t>0.5827032418924245</t>
  </si>
  <si>
    <t>0.7363392283138199</t>
  </si>
  <si>
    <t>0.7252271738487628</t>
  </si>
  <si>
    <t>0.7477971030845335</t>
  </si>
  <si>
    <t>hemorrhages</t>
  </si>
  <si>
    <t>0.5446580654161489</t>
  </si>
  <si>
    <t>0.7052150603563018</t>
  </si>
  <si>
    <t>0.7274888913360983</t>
  </si>
  <si>
    <t>0.684264644189612</t>
  </si>
  <si>
    <t>laser_coagulates</t>
  </si>
  <si>
    <t>0.5413566012522176</t>
  </si>
  <si>
    <t>0.7024417332269672</t>
  </si>
  <si>
    <t>0.6094202882712776</t>
  </si>
  <si>
    <t>0.8289759922938681</t>
  </si>
  <si>
    <t>macular_hole</t>
  </si>
  <si>
    <t>0.7263737540369236</t>
  </si>
  <si>
    <t>0.8415023135498712</t>
  </si>
  <si>
    <t>0.7454420884127951</t>
  </si>
  <si>
    <t>0.9659820784836819</t>
  </si>
  <si>
    <t>microaneurysms</t>
  </si>
  <si>
    <t>0.16201700656473286</t>
  </si>
  <si>
    <t>0.2788547941199298</t>
  </si>
  <si>
    <t>0.3134902605246136</t>
  </si>
  <si>
    <t>0.25111117994126536</t>
  </si>
  <si>
    <t>neovascularization</t>
  </si>
  <si>
    <t>0.5859510628060817</t>
  </si>
  <si>
    <t>0.7389270407490844</t>
  </si>
  <si>
    <t>0.6742725887017316</t>
  </si>
  <si>
    <t>0.8172956457003497</t>
  </si>
  <si>
    <t>soft_exudates</t>
  </si>
  <si>
    <t>0.3201113912989254</t>
  </si>
  <si>
    <t>0.48497633367734433</t>
  </si>
  <si>
    <t>0.7147916020568866</t>
  </si>
  <si>
    <t>0.366985485029057</t>
  </si>
  <si>
    <t>subretinal_hemorrhage</t>
  </si>
  <si>
    <t>0.4988901404682895</t>
  </si>
  <si>
    <t>0.6656793943716571</t>
  </si>
  <si>
    <t>0.6453709029271021</t>
  </si>
  <si>
    <t>0.6873075454763514</t>
  </si>
  <si>
    <t>venous_anomalies</t>
  </si>
  <si>
    <t>0.12844030808720897</t>
  </si>
  <si>
    <t>0.22764218393602922</t>
  </si>
  <si>
    <t>0.31902241494704103</t>
  </si>
  <si>
    <t>0.17695538754018927</t>
  </si>
  <si>
    <t>MEAN</t>
  </si>
  <si>
    <t>0.46134664184725327</t>
  </si>
  <si>
    <t>0.6084896640532546</t>
  </si>
  <si>
    <t>0.6241970188003876</t>
  </si>
  <si>
    <t>0.6150023141086933</t>
  </si>
  <si>
    <t>Deeplab_DICE_1_Fold_2</t>
  </si>
  <si>
    <t>Deeplab_DICE_2_Fold_3,drusen,0.3621915248181946,0.5317776806261287,0.5780655108823661,0.49235315385095235</t>
  </si>
  <si>
    <t>Deeplab_DICE_2_Fold_3,edema,0.3054680865941911,0.46798246503462304,0.47158010680510387,0.46443929983147714</t>
  </si>
  <si>
    <t>Deeplab_DICE_2_Fold_3,epiretinal_fibrosis,0.6216374944141824,0.7666787386890673,0.7089558176377939,0.8346343603061547</t>
  </si>
  <si>
    <t>Deeplab_DICE_2_Fold_3,fibrosis,0.3979541008227535,0.5693378639377947,0.5534701580470819,0.5861422623202275</t>
  </si>
  <si>
    <t>Deeplab_DICE_2_Fold_3,geographic_atrophy,0.7457835414429911,0.8543826009799106,0.8039878470078181,0.9115174146775376</t>
  </si>
  <si>
    <t>Deeplab_DICE_2_Fold_3,hard_exudates,0.5686237591737634,0.7249969992463621,0.7710495788096041,0.6841355455728078</t>
  </si>
  <si>
    <t>Deeplab_DICE_2_Fold_3,hemorrhages,0.5273784571199511,0.6905668397528458,0.692953002666861,0.688197053806307</t>
  </si>
  <si>
    <t>Deeplab_DICE_2_Fold_3,laser_coagulates,0.6012587492164639,0.7509826247765077,0.7343530850308841,0.768382772074196</t>
  </si>
  <si>
    <t>Deeplab_DICE_2_Fold_3,macular_hole,0.8041546441752276,0.8914475782566282,0.8110512500351023,0.9895364434021147</t>
  </si>
  <si>
    <t>Deeplab_DICE_2_Fold_3,microaneurysms,0.13451248083758302,0.23712825219564923,0.3513789195311027,0.17894453315878245</t>
  </si>
  <si>
    <t>Deeplab_DICE_2_Fold_3,neovascularization,0.5757599476252869,0.7307711412426401,0.6302798724209823,0.8693851444559875</t>
  </si>
  <si>
    <t>Deeplab_DICE_2_Fold_3,soft_exudates,0.491122187351457,0.6587282940558911,0.6414072089584972,0.6770108489808212</t>
  </si>
  <si>
    <t>Deeplab_DICE_2_Fold_3,subretinal_hemorrhage,0.4793923677514781,0.6480936068098072,0.6711221017894428,0.6265930557186965</t>
  </si>
  <si>
    <t>Deeplab_DICE_2_Fold_3,venous_anomalies,0.3018447434653088,0.4637184963574764,0.4599517390802412,0.4675474584898583</t>
  </si>
  <si>
    <t>Deeplab_DICE_2_Fold_3,MEAN,0.49407729177205945,0.6418995129972379,0.6342575856216344,0.6599156676175658</t>
  </si>
  <si>
    <t>Deeplab_DICE_3_Fold_1,drusen,0.3694523303849434,0.5395621624610956,0.5833288373947557,0.5019046743963665</t>
  </si>
  <si>
    <t>Deeplab_DICE_3_Fold_1,edema,0.4126395990972416,0.5842107206409083,0.5817374583864957,0.5867051028824327</t>
  </si>
  <si>
    <t>Deeplab_DICE_3_Fold_1,epiretinal_fibrosis,0.6040734152080894,0.753174274295576,0.6939384989755969,0.8234668072029407</t>
  </si>
  <si>
    <t>Deeplab_DICE_3_Fold_1,fibrosis,0.3910137793763179,0.5621997210575942,0.6067643155486369,0.5237334374246658</t>
  </si>
  <si>
    <t>Deeplab_DICE_3_Fold_1,geographic_atrophy,0.7910831328051496,0.8833572471492991,0.825612533552015,0.9497869241264179</t>
  </si>
  <si>
    <t>Deeplab_DICE_3_Fold_1,hard_exudates,0.49878937317280664,0.665589684715889,0.7170499354100253,0.6210210990884784</t>
  </si>
  <si>
    <t>Deeplab_DICE_3_Fold_1,hemorrhages,0.5801116886352681,0.7342666886241525,0.7969239062759599,0.6807439826887607</t>
  </si>
  <si>
    <t>Deeplab_DICE_3_Fold_1,laser_coagulates,0.6459400149853316,0.7848888891507848,0.7217445790322587,0.8601413142778727</t>
  </si>
  <si>
    <t>Deeplab_DICE_3_Fold_1,macular_hole,0.7510269664504345,0.8578131357655404,0.7664014662388685,0.9739839745901071</t>
  </si>
  <si>
    <t>Deeplab_DICE_3_Fold_1,microaneurysms,0.15356190634887787,0.26623955854248765,0.34217048650724313,0.2178880915505823</t>
  </si>
  <si>
    <t>Deeplab_DICE_3_Fold_1,neovascularization,0.5956591519783816,0.746599486788707,0.7040516371529165,0.7946206822851979</t>
  </si>
  <si>
    <t>Deeplab_DICE_3_Fold_1,soft_exudates,0.5171662523691133,0.6817529081754071,0.8285129418670425,0.5791620620423972</t>
  </si>
  <si>
    <t>Deeplab_DICE_3_Fold_1,subretinal_hemorrhage,0.5443460747160117,0.704953486304695,0.6700861975375058,0.7436485195208823</t>
  </si>
  <si>
    <t>Deeplab_DICE_3_Fold_1,venous_anomalies,0.02801089454421057,0.05449532625163426,0.6480897991303264,0.028443514861319835</t>
  </si>
  <si>
    <t>Deeplab_DICE_3_Fold_1,MEAN,0.4916338985765841,0.6299359492802694,0.6776008995006891,0.6346607276384587</t>
  </si>
  <si>
    <t>Deeplab_DICE_2_Fold_3</t>
  </si>
  <si>
    <t>0.3054680865941911</t>
  </si>
  <si>
    <t>0.46798246503462304</t>
  </si>
  <si>
    <t>0.47158010680510387</t>
  </si>
  <si>
    <t>0.46443929983147714</t>
  </si>
  <si>
    <t>0.6216374944141824</t>
  </si>
  <si>
    <t>0.7666787386890673</t>
  </si>
  <si>
    <t>0.7089558176377939</t>
  </si>
  <si>
    <t>0.8346343603061547</t>
  </si>
  <si>
    <t>0.3979541008227535</t>
  </si>
  <si>
    <t>0.5693378639377947</t>
  </si>
  <si>
    <t>0.5534701580470819</t>
  </si>
  <si>
    <t>0.5861422623202275</t>
  </si>
  <si>
    <t>0.7457835414429911</t>
  </si>
  <si>
    <t>0.8543826009799106</t>
  </si>
  <si>
    <t>0.8039878470078181</t>
  </si>
  <si>
    <t>0.9115174146775376</t>
  </si>
  <si>
    <t>0.5686237591737634</t>
  </si>
  <si>
    <t>0.7249969992463621</t>
  </si>
  <si>
    <t>0.7710495788096041</t>
  </si>
  <si>
    <t>0.6841355455728078</t>
  </si>
  <si>
    <t>0.5273784571199511</t>
  </si>
  <si>
    <t>0.6905668397528458</t>
  </si>
  <si>
    <t>0.692953002666861</t>
  </si>
  <si>
    <t>0.688197053806307</t>
  </si>
  <si>
    <t>0.6012587492164639</t>
  </si>
  <si>
    <t>0.7509826247765077</t>
  </si>
  <si>
    <t>0.7343530850308841</t>
  </si>
  <si>
    <t>0.768382772074196</t>
  </si>
  <si>
    <t>0.8041546441752276</t>
  </si>
  <si>
    <t>0.8914475782566282</t>
  </si>
  <si>
    <t>0.8110512500351023</t>
  </si>
  <si>
    <t>0.9895364434021147</t>
  </si>
  <si>
    <t>0.13451248083758302</t>
  </si>
  <si>
    <t>0.23712825219564923</t>
  </si>
  <si>
    <t>0.3513789195311027</t>
  </si>
  <si>
    <t>0.17894453315878245</t>
  </si>
  <si>
    <t>0.5757599476252869</t>
  </si>
  <si>
    <t>0.7307711412426401</t>
  </si>
  <si>
    <t>0.6302798724209823</t>
  </si>
  <si>
    <t>0.8693851444559875</t>
  </si>
  <si>
    <t>0.491122187351457</t>
  </si>
  <si>
    <t>0.6587282940558911</t>
  </si>
  <si>
    <t>0.6414072089584972</t>
  </si>
  <si>
    <t>0.6770108489808212</t>
  </si>
  <si>
    <t>0.4793923677514781</t>
  </si>
  <si>
    <t>0.6480936068098072</t>
  </si>
  <si>
    <t>0.6711221017894428</t>
  </si>
  <si>
    <t>0.6265930557186965</t>
  </si>
  <si>
    <t>0.3018447434653088</t>
  </si>
  <si>
    <t>0.4637184963574764</t>
  </si>
  <si>
    <t>0.4599517390802412</t>
  </si>
  <si>
    <t>0.4675474584898583</t>
  </si>
  <si>
    <t>0.49407729177205945</t>
  </si>
  <si>
    <t>0.6418995129972379</t>
  </si>
  <si>
    <t>0.6342575856216344</t>
  </si>
  <si>
    <t>0.6599156676175658</t>
  </si>
  <si>
    <t>Deeplab_DICE_3_Fold_1</t>
  </si>
  <si>
    <t>0.3694523303849434</t>
  </si>
  <si>
    <t>0.5395621624610956</t>
  </si>
  <si>
    <t>0.5833288373947557</t>
  </si>
  <si>
    <t>0.5019046743963665</t>
  </si>
  <si>
    <t>0.4126395990972416</t>
  </si>
  <si>
    <t>0.5842107206409083</t>
  </si>
  <si>
    <t>0.5817374583864957</t>
  </si>
  <si>
    <t>0.5867051028824327</t>
  </si>
  <si>
    <t>0.6040734152080894</t>
  </si>
  <si>
    <t>0.753174274295576</t>
  </si>
  <si>
    <t>0.6939384989755969</t>
  </si>
  <si>
    <t>0.8234668072029407</t>
  </si>
  <si>
    <t>0.3910137793763179</t>
  </si>
  <si>
    <t>0.5621997210575942</t>
  </si>
  <si>
    <t>0.6067643155486369</t>
  </si>
  <si>
    <t>0.5237334374246658</t>
  </si>
  <si>
    <t>0.7910831328051496</t>
  </si>
  <si>
    <t>0.8833572471492991</t>
  </si>
  <si>
    <t>0.825612533552015</t>
  </si>
  <si>
    <t>0.9497869241264179</t>
  </si>
  <si>
    <t>0.49878937317280664</t>
  </si>
  <si>
    <t>0.665589684715889</t>
  </si>
  <si>
    <t>0.7170499354100253</t>
  </si>
  <si>
    <t>0.6210210990884784</t>
  </si>
  <si>
    <t>0.5801116886352681</t>
  </si>
  <si>
    <t>0.7342666886241525</t>
  </si>
  <si>
    <t>0.7969239062759599</t>
  </si>
  <si>
    <t>0.6807439826887607</t>
  </si>
  <si>
    <t>0.6459400149853316</t>
  </si>
  <si>
    <t>0.7848888891507848</t>
  </si>
  <si>
    <t>0.7217445790322587</t>
  </si>
  <si>
    <t>0.8601413142778727</t>
  </si>
  <si>
    <t>0.7510269664504345</t>
  </si>
  <si>
    <t>0.8578131357655404</t>
  </si>
  <si>
    <t>0.7664014662388685</t>
  </si>
  <si>
    <t>0.9739839745901071</t>
  </si>
  <si>
    <t>0.15356190634887787</t>
  </si>
  <si>
    <t>0.26623955854248765</t>
  </si>
  <si>
    <t>0.34217048650724313</t>
  </si>
  <si>
    <t>0.2178880915505823</t>
  </si>
  <si>
    <t>0.5956591519783816</t>
  </si>
  <si>
    <t>0.746599486788707</t>
  </si>
  <si>
    <t>0.7040516371529165</t>
  </si>
  <si>
    <t>0.7946206822851979</t>
  </si>
  <si>
    <t>0.5171662523691133</t>
  </si>
  <si>
    <t>0.6817529081754071</t>
  </si>
  <si>
    <t>0.8285129418670425</t>
  </si>
  <si>
    <t>0.5791620620423972</t>
  </si>
  <si>
    <t>0.5443460747160117</t>
  </si>
  <si>
    <t>0.704953486304695</t>
  </si>
  <si>
    <t>0.6700861975375058</t>
  </si>
  <si>
    <t>0.7436485195208823</t>
  </si>
  <si>
    <t>0.02801089454421057</t>
  </si>
  <si>
    <t>0.05449532625163426</t>
  </si>
  <si>
    <t>0.6480897991303264</t>
  </si>
  <si>
    <t>0.028443514861319835</t>
  </si>
  <si>
    <t>0.4916338985765841</t>
  </si>
  <si>
    <t>0.6299359492802694</t>
  </si>
  <si>
    <t>0.6776008995006891</t>
  </si>
  <si>
    <t>0.6346607276384587</t>
  </si>
  <si>
    <t>0.3621915248181946</t>
  </si>
  <si>
    <t>0.5317776806261287</t>
  </si>
  <si>
    <t>0.5780655108823661</t>
  </si>
  <si>
    <t>0.49235315385095235</t>
  </si>
  <si>
    <t>model</t>
  </si>
  <si>
    <t>class_name</t>
  </si>
  <si>
    <t>iou</t>
  </si>
  <si>
    <t>dice</t>
  </si>
  <si>
    <t>precision</t>
  </si>
  <si>
    <t>recall</t>
  </si>
  <si>
    <t>Deeplab_TVERSKY_1_Fold_2,drusen,0.3425674963390841,0.5103169818622869,0.5187938465076949,0.502112680181943</t>
  </si>
  <si>
    <t>Deeplab_TVERSKY_1_Fold_2,edema,0.38120064752059374,0.5519844610627581,0.5846875673362015,0.5227459136355913</t>
  </si>
  <si>
    <t>Deeplab_TVERSKY_1_Fold_2,epiretinal_fibrosis,0.6409633336660325,0.7812037240759955,0.745143038060556,0.820932173284669</t>
  </si>
  <si>
    <t>Deeplab_TVERSKY_1_Fold_2,fibrosis,0.3574449288673427,0.5266437278830841,0.5872720553747234,0.47736218823611226</t>
  </si>
  <si>
    <t>Deeplab_TVERSKY_1_Fold_2,geographic_atrophy,0.7303666165567899,0.8441755747809409,0.8254855329802061,0.863731555140654</t>
  </si>
  <si>
    <t>Deeplab_TVERSKY_1_Fold_2,hard_exudates,0.5804658416086753,0.7345503158965445,0.733439257637178,0.7356647454597933</t>
  </si>
  <si>
    <t>Deeplab_TVERSKY_1_Fold_2,hemorrhages,0.5406093622636293,0.7018123808741598,0.7063945123958123,0.6972893115719454</t>
  </si>
  <si>
    <t>Deeplab_TVERSKY_1_Fold_2,laser_coagulates,0.5389543154933164,0.7004162632606192,0.5899125153055977,0.8618622515070996</t>
  </si>
  <si>
    <t>Deeplab_TVERSKY_1_Fold_2,macular_hole,0.7820271011408995,0.8776826128404285,0.805952762526959,0.9634277474506203</t>
  </si>
  <si>
    <t>Deeplab_TVERSKY_1_Fold_2,microaneurysms,0.14158069503935616,0.24804325380515507,0.23755112456301342,0.2595050409624603</t>
  </si>
  <si>
    <t>Deeplab_TVERSKY_1_Fold_2,neovascularization,0.6156706749108222,0.7621239705236396,0.7009449404708502,0.8350037606739735</t>
  </si>
  <si>
    <t>Deeplab_TVERSKY_1_Fold_2,soft_exudates,0.3455091912660255,0.5135738849036426,0.6664586513085814,0.4177439536102479</t>
  </si>
  <si>
    <t>Deeplab_TVERSKY_1_Fold_2,subretinal_hemorrhage,0.513429134807789,0.6784977545354264,0.6657594123993356,0.6917330648943297</t>
  </si>
  <si>
    <t>Deeplab_TVERSKY_1_Fold_2,venous_anomalies,0.20385106298103195,0.33866492168266477,0.3185036885850022,0.3615510456732886</t>
  </si>
  <si>
    <t>Deeplab_TVERSKY_1_Fold_2,MEAN,0.47961717160438483,0.6264064162848103,0.6204499218179794,0.6436189594487661</t>
  </si>
  <si>
    <t>Deeplab_TVERSKY_2_Fold_3,drusen,0.3807688124017207,0.5515315945460968,0.5718603226464947,0.5325985598839772</t>
  </si>
  <si>
    <t>Deeplab_TVERSKY_2_Fold_3,edema,0.28826615048698107,0.4475257700095788,0.5376330066679861,0.383286921381193</t>
  </si>
  <si>
    <t>Deeplab_TVERSKY_2_Fold_3,epiretinal_fibrosis,0.6163962639012817,0.7626796444252693,0.6977862994683831,0.8408805991119593</t>
  </si>
  <si>
    <t>Deeplab_TVERSKY_2_Fold_3,fibrosis,0.4447708433029288,0.6156974240788614,0.6073625256848619,0.624264266804212</t>
  </si>
  <si>
    <t>Deeplab_TVERSKY_2_Fold_3,geographic_atrophy,0.7398764808297295,0.8504931114154608,0.7920493630268552,0.9182488706653593</t>
  </si>
  <si>
    <t>Deeplab_TVERSKY_2_Fold_3,hard_exudates,0.5735483617490933,0.7289872693986473,0.7683466664197762,0.6934638275695917</t>
  </si>
  <si>
    <t>Deeplab_TVERSKY_2_Fold_3,hemorrhages,0.5200570205778495,0.6842598843826924,0.6780194056684787,0.6906163047348993</t>
  </si>
  <si>
    <t>Deeplab_TVERSKY_2_Fold_3,laser_coagulates,0.6039018599539585,0.7530409123302519,0.7130286871943761,0.7978107570804295</t>
  </si>
  <si>
    <t>Deeplab_TVERSKY_2_Fold_3,macular_hole,0.8069221297539,0.8931454393818306,0.8141924975516761,0.9890549417644022</t>
  </si>
  <si>
    <t>Deeplab_TVERSKY_2_Fold_3,microaneurysms,0.12520947055792786,0.22255317580262374,0.26171546484687597,0.19358562441067292</t>
  </si>
  <si>
    <t>Deeplab_TVERSKY_2_Fold_3,neovascularization,0.6462370565448473,0.7851081397732372,0.7209606557083512,0.8617855178460372</t>
  </si>
  <si>
    <t>Deeplab_TVERSKY_2_Fold_3,soft_exudates,0.4991055936174937,0.6658711644362574,0.6486812600478785,0.6839969258564711</t>
  </si>
  <si>
    <t>Deeplab_TVERSKY_2_Fold_3,subretinal_hemorrhage,0.45535743056222977,0.62576714283352,0.6233215333647896,0.6282320186498123</t>
  </si>
  <si>
    <t>Deeplab_TVERSKY_2_Fold_3,venous_anomalies,0.34038821547678316,0.5078949688552808,0.5225746440582746,0.4940174942351529</t>
  </si>
  <si>
    <t>Deeplab_TVERSKY_2_Fold_3,MEAN,0.5029146921226232,0.649611117262115,0.6398237380253613,0.6665601878567264</t>
  </si>
  <si>
    <t>Deeplab_TVERSKY_3_Fold_1,drusen,0.3684293820361427,0.5384704346057543,0.5201188880886478,0.5581643533008027</t>
  </si>
  <si>
    <t>Deeplab_TVERSKY_3_Fold_1,edema,0.41650001275612514,0.5880691973249319,0.6062428205778808,0.5709534596718977</t>
  </si>
  <si>
    <t>Deeplab_TVERSKY_3_Fold_1,epiretinal_fibrosis,0.6275894462025496,0.7711888863212101,0.7490729639101212,0.7946504564010587</t>
  </si>
  <si>
    <t>Deeplab_TVERSKY_3_Fold_1,fibrosis,0.3971015403907574,0.5684648236515314,0.5739224235183331,0.5631100419527791</t>
  </si>
  <si>
    <t>Deeplab_TVERSKY_3_Fold_1,geographic_atrophy,0.7991647219849086,0.8883730458023199,0.8308156028333379,0.9544990611138338</t>
  </si>
  <si>
    <t>Deeplab_TVERSKY_3_Fold_1,hard_exudates,0.48091135571277377,0.6494802728841356,0.6878065877316693,0.615199791532289</t>
  </si>
  <si>
    <t>Deeplab_TVERSKY_3_Fold_1,hemorrhages,0.582338408774168,0.7360478713593301,0.77185433857516,0.7034162594423673</t>
  </si>
  <si>
    <t>Deeplab_TVERSKY_3_Fold_1,laser_coagulates,0.643288723463459,0.7829284218632483,0.7108752700678214,0.8712354150181105</t>
  </si>
  <si>
    <t>Deeplab_TVERSKY_3_Fold_1,macular_hole,0.7687007446901396,0.8692264612856361,0.7807264470014121,0.9803556389708654</t>
  </si>
  <si>
    <t>Deeplab_TVERSKY_3_Fold_1,microaneurysms,0.11284045129749536,0.20279717755753965,0.2603924331035393,0.16606570749632563</t>
  </si>
  <si>
    <t>Deeplab_TVERSKY_3_Fold_1,neovascularization,0.5817155776002738,0.7355501657040431,0.6773527011326,0.8046881656454155</t>
  </si>
  <si>
    <t>Deeplab_TVERSKY_3_Fold_1,soft_exudates,0.527657007718683,0.6908055997552177,0.7771912442594842,0.6217026770873036</t>
  </si>
  <si>
    <t>Deeplab_TVERSKY_3_Fold_1,subretinal_hemorrhage,0.5435281678781153,0.7042672484886392,0.7216593775851909,0.6876936987516415</t>
  </si>
  <si>
    <t>Deeplab_TVERSKY_3_Fold_1,venous_anomalies,0.0,0.0,0.0,0.0</t>
  </si>
  <si>
    <t>Deeplab_TVERSKY_3_Fold_1,MEAN,0.4892689671789708,0.6232621147573955,0.6191450784560856,0.635123909027478</t>
  </si>
  <si>
    <t>Deeplab_TVERSKY_1_Fold_2</t>
  </si>
  <si>
    <t>Deeplab_TVERSKY_2_Fold_3</t>
  </si>
  <si>
    <t>Deeplab_TVERSKY_3_Fold_1</t>
  </si>
  <si>
    <t>Deeplab DICE</t>
  </si>
  <si>
    <t>Deeplab Tversky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</si>
</sst>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/>
    <xf numFmtId="166" fontId="0" fillId="0" borderId="0" xfId="0" applyNumberFormat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1"/>
  <sheetViews>
    <sheetView topLeftCell="A68" workbookViewId="0">
      <selection activeCell="B47" sqref="B47:G91"/>
    </sheetView>
  </sheetViews>
  <sheetFormatPr defaultRowHeight="14.4" x14ac:dyDescent="0.3"/>
  <cols>
    <col min="2" max="2" width="24.88671875" customWidth="1"/>
    <col min="3" max="3" width="22" customWidth="1"/>
    <col min="4" max="4" width="10.77734375" customWidth="1"/>
    <col min="5" max="5" width="13.21875" customWidth="1"/>
    <col min="7" max="7" width="11.77734375" customWidth="1"/>
  </cols>
  <sheetData>
    <row r="1" spans="1:7" x14ac:dyDescent="0.3">
      <c r="A1" t="s">
        <v>0</v>
      </c>
      <c r="B1" t="str" cm="1">
        <f t="array" ref="B1:G1">_xlfn.TEXTSPLIT(A1,",")</f>
        <v>model</v>
      </c>
      <c r="C1" t="str">
        <v>class_name</v>
      </c>
      <c r="D1" t="str">
        <v>iou</v>
      </c>
      <c r="E1" t="str">
        <v>dice</v>
      </c>
      <c r="F1" t="str">
        <v>precision</v>
      </c>
      <c r="G1" t="str">
        <v>recall</v>
      </c>
    </row>
    <row r="2" spans="1:7" x14ac:dyDescent="0.3">
      <c r="A2" t="s">
        <v>1</v>
      </c>
      <c r="B2" s="1" t="s">
        <v>91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</row>
    <row r="3" spans="1:7" x14ac:dyDescent="0.3">
      <c r="A3" t="s">
        <v>2</v>
      </c>
      <c r="B3" s="1"/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">
      <c r="A4" t="s">
        <v>3</v>
      </c>
      <c r="B4" s="1"/>
      <c r="C4" t="s">
        <v>26</v>
      </c>
      <c r="D4" t="s">
        <v>27</v>
      </c>
      <c r="E4" t="s">
        <v>28</v>
      </c>
      <c r="F4" t="s">
        <v>29</v>
      </c>
      <c r="G4" t="s">
        <v>30</v>
      </c>
    </row>
    <row r="5" spans="1:7" x14ac:dyDescent="0.3">
      <c r="A5" t="s">
        <v>4</v>
      </c>
      <c r="B5" s="1"/>
      <c r="C5" t="s">
        <v>31</v>
      </c>
      <c r="D5" t="s">
        <v>32</v>
      </c>
      <c r="E5" t="s">
        <v>33</v>
      </c>
      <c r="F5" t="s">
        <v>34</v>
      </c>
      <c r="G5" t="s">
        <v>35</v>
      </c>
    </row>
    <row r="6" spans="1:7" x14ac:dyDescent="0.3">
      <c r="A6" t="s">
        <v>5</v>
      </c>
      <c r="B6" s="1"/>
      <c r="C6" t="s">
        <v>36</v>
      </c>
      <c r="D6" t="s">
        <v>37</v>
      </c>
      <c r="E6" t="s">
        <v>38</v>
      </c>
      <c r="F6" t="s">
        <v>39</v>
      </c>
      <c r="G6" t="s">
        <v>40</v>
      </c>
    </row>
    <row r="7" spans="1:7" x14ac:dyDescent="0.3">
      <c r="A7" t="s">
        <v>6</v>
      </c>
      <c r="B7" s="1"/>
      <c r="C7" t="s">
        <v>41</v>
      </c>
      <c r="D7" t="s">
        <v>42</v>
      </c>
      <c r="E7" t="s">
        <v>43</v>
      </c>
      <c r="F7" t="s">
        <v>44</v>
      </c>
      <c r="G7" t="s">
        <v>45</v>
      </c>
    </row>
    <row r="8" spans="1:7" x14ac:dyDescent="0.3">
      <c r="A8" t="s">
        <v>7</v>
      </c>
      <c r="B8" s="1"/>
      <c r="C8" t="s">
        <v>46</v>
      </c>
      <c r="D8" t="s">
        <v>47</v>
      </c>
      <c r="E8" t="s">
        <v>48</v>
      </c>
      <c r="F8" t="s">
        <v>49</v>
      </c>
      <c r="G8" t="s">
        <v>50</v>
      </c>
    </row>
    <row r="9" spans="1:7" x14ac:dyDescent="0.3">
      <c r="A9" t="s">
        <v>8</v>
      </c>
      <c r="B9" s="1"/>
      <c r="C9" t="s">
        <v>51</v>
      </c>
      <c r="D9" t="s">
        <v>52</v>
      </c>
      <c r="E9" t="s">
        <v>53</v>
      </c>
      <c r="F9" t="s">
        <v>54</v>
      </c>
      <c r="G9" t="s">
        <v>55</v>
      </c>
    </row>
    <row r="10" spans="1:7" x14ac:dyDescent="0.3">
      <c r="A10" t="s">
        <v>9</v>
      </c>
      <c r="B10" s="1"/>
      <c r="C10" t="s">
        <v>56</v>
      </c>
      <c r="D10" t="s">
        <v>57</v>
      </c>
      <c r="E10" t="s">
        <v>58</v>
      </c>
      <c r="F10" t="s">
        <v>59</v>
      </c>
      <c r="G10" t="s">
        <v>60</v>
      </c>
    </row>
    <row r="11" spans="1:7" x14ac:dyDescent="0.3">
      <c r="A11" t="s">
        <v>10</v>
      </c>
      <c r="B11" s="1"/>
      <c r="C11" t="s">
        <v>61</v>
      </c>
      <c r="D11" t="s">
        <v>62</v>
      </c>
      <c r="E11" t="s">
        <v>63</v>
      </c>
      <c r="F11" t="s">
        <v>64</v>
      </c>
      <c r="G11" t="s">
        <v>65</v>
      </c>
    </row>
    <row r="12" spans="1:7" x14ac:dyDescent="0.3">
      <c r="A12" t="s">
        <v>11</v>
      </c>
      <c r="B12" s="1"/>
      <c r="C12" t="s">
        <v>66</v>
      </c>
      <c r="D12" t="s">
        <v>67</v>
      </c>
      <c r="E12" t="s">
        <v>68</v>
      </c>
      <c r="F12" t="s">
        <v>69</v>
      </c>
      <c r="G12" t="s">
        <v>70</v>
      </c>
    </row>
    <row r="13" spans="1:7" x14ac:dyDescent="0.3">
      <c r="A13" t="s">
        <v>12</v>
      </c>
      <c r="B13" s="1"/>
      <c r="C13" t="s">
        <v>71</v>
      </c>
      <c r="D13" t="s">
        <v>72</v>
      </c>
      <c r="E13" t="s">
        <v>73</v>
      </c>
      <c r="F13" t="s">
        <v>74</v>
      </c>
      <c r="G13" t="s">
        <v>75</v>
      </c>
    </row>
    <row r="14" spans="1:7" x14ac:dyDescent="0.3">
      <c r="A14" t="s">
        <v>13</v>
      </c>
      <c r="B14" s="1"/>
      <c r="C14" t="s">
        <v>76</v>
      </c>
      <c r="D14" t="s">
        <v>77</v>
      </c>
      <c r="E14" t="s">
        <v>78</v>
      </c>
      <c r="F14" t="s">
        <v>79</v>
      </c>
      <c r="G14" t="s">
        <v>80</v>
      </c>
    </row>
    <row r="15" spans="1:7" x14ac:dyDescent="0.3">
      <c r="A15" t="s">
        <v>14</v>
      </c>
      <c r="B15" s="1"/>
      <c r="C15" t="s">
        <v>81</v>
      </c>
      <c r="D15" t="s">
        <v>82</v>
      </c>
      <c r="E15" t="s">
        <v>83</v>
      </c>
      <c r="F15" t="s">
        <v>84</v>
      </c>
      <c r="G15" t="s">
        <v>85</v>
      </c>
    </row>
    <row r="16" spans="1:7" x14ac:dyDescent="0.3">
      <c r="A16" t="s">
        <v>15</v>
      </c>
      <c r="B16" s="1"/>
      <c r="C16" t="s">
        <v>86</v>
      </c>
      <c r="D16" t="s">
        <v>87</v>
      </c>
      <c r="E16" t="s">
        <v>88</v>
      </c>
      <c r="F16" t="s">
        <v>89</v>
      </c>
      <c r="G16" t="s">
        <v>90</v>
      </c>
    </row>
    <row r="17" spans="1:7" x14ac:dyDescent="0.3">
      <c r="A17" t="s">
        <v>92</v>
      </c>
      <c r="B17" s="1" t="s">
        <v>122</v>
      </c>
      <c r="C17" t="s">
        <v>16</v>
      </c>
      <c r="D17" t="s">
        <v>240</v>
      </c>
      <c r="E17" t="s">
        <v>241</v>
      </c>
      <c r="F17" t="s">
        <v>242</v>
      </c>
      <c r="G17" t="s">
        <v>243</v>
      </c>
    </row>
    <row r="18" spans="1:7" x14ac:dyDescent="0.3">
      <c r="A18" t="s">
        <v>93</v>
      </c>
      <c r="B18" s="1"/>
      <c r="C18" t="s">
        <v>21</v>
      </c>
      <c r="D18" t="s">
        <v>123</v>
      </c>
      <c r="E18" t="s">
        <v>124</v>
      </c>
      <c r="F18" t="s">
        <v>125</v>
      </c>
      <c r="G18" t="s">
        <v>126</v>
      </c>
    </row>
    <row r="19" spans="1:7" x14ac:dyDescent="0.3">
      <c r="A19" t="s">
        <v>94</v>
      </c>
      <c r="B19" s="1"/>
      <c r="C19" t="s">
        <v>26</v>
      </c>
      <c r="D19" t="s">
        <v>127</v>
      </c>
      <c r="E19" t="s">
        <v>128</v>
      </c>
      <c r="F19" t="s">
        <v>129</v>
      </c>
      <c r="G19" t="s">
        <v>130</v>
      </c>
    </row>
    <row r="20" spans="1:7" x14ac:dyDescent="0.3">
      <c r="A20" t="s">
        <v>95</v>
      </c>
      <c r="B20" s="1"/>
      <c r="C20" t="s">
        <v>31</v>
      </c>
      <c r="D20" t="s">
        <v>131</v>
      </c>
      <c r="E20" t="s">
        <v>132</v>
      </c>
      <c r="F20" t="s">
        <v>133</v>
      </c>
      <c r="G20" t="s">
        <v>134</v>
      </c>
    </row>
    <row r="21" spans="1:7" x14ac:dyDescent="0.3">
      <c r="A21" t="s">
        <v>96</v>
      </c>
      <c r="B21" s="1"/>
      <c r="C21" t="s">
        <v>36</v>
      </c>
      <c r="D21" t="s">
        <v>135</v>
      </c>
      <c r="E21" t="s">
        <v>136</v>
      </c>
      <c r="F21" t="s">
        <v>137</v>
      </c>
      <c r="G21" t="s">
        <v>138</v>
      </c>
    </row>
    <row r="22" spans="1:7" x14ac:dyDescent="0.3">
      <c r="A22" t="s">
        <v>97</v>
      </c>
      <c r="B22" s="1"/>
      <c r="C22" t="s">
        <v>41</v>
      </c>
      <c r="D22" t="s">
        <v>139</v>
      </c>
      <c r="E22" t="s">
        <v>140</v>
      </c>
      <c r="F22" t="s">
        <v>141</v>
      </c>
      <c r="G22" t="s">
        <v>142</v>
      </c>
    </row>
    <row r="23" spans="1:7" x14ac:dyDescent="0.3">
      <c r="A23" t="s">
        <v>98</v>
      </c>
      <c r="B23" s="1"/>
      <c r="C23" t="s">
        <v>46</v>
      </c>
      <c r="D23" t="s">
        <v>143</v>
      </c>
      <c r="E23" t="s">
        <v>144</v>
      </c>
      <c r="F23" t="s">
        <v>145</v>
      </c>
      <c r="G23" t="s">
        <v>146</v>
      </c>
    </row>
    <row r="24" spans="1:7" x14ac:dyDescent="0.3">
      <c r="A24" t="s">
        <v>99</v>
      </c>
      <c r="B24" s="1"/>
      <c r="C24" t="s">
        <v>51</v>
      </c>
      <c r="D24" t="s">
        <v>147</v>
      </c>
      <c r="E24" t="s">
        <v>148</v>
      </c>
      <c r="F24" t="s">
        <v>149</v>
      </c>
      <c r="G24" t="s">
        <v>150</v>
      </c>
    </row>
    <row r="25" spans="1:7" x14ac:dyDescent="0.3">
      <c r="A25" t="s">
        <v>100</v>
      </c>
      <c r="B25" s="1"/>
      <c r="C25" t="s">
        <v>56</v>
      </c>
      <c r="D25" t="s">
        <v>151</v>
      </c>
      <c r="E25" t="s">
        <v>152</v>
      </c>
      <c r="F25" t="s">
        <v>153</v>
      </c>
      <c r="G25" t="s">
        <v>154</v>
      </c>
    </row>
    <row r="26" spans="1:7" x14ac:dyDescent="0.3">
      <c r="A26" t="s">
        <v>101</v>
      </c>
      <c r="B26" s="1"/>
      <c r="C26" t="s">
        <v>61</v>
      </c>
      <c r="D26" t="s">
        <v>155</v>
      </c>
      <c r="E26" t="s">
        <v>156</v>
      </c>
      <c r="F26" t="s">
        <v>157</v>
      </c>
      <c r="G26" t="s">
        <v>158</v>
      </c>
    </row>
    <row r="27" spans="1:7" x14ac:dyDescent="0.3">
      <c r="A27" t="s">
        <v>102</v>
      </c>
      <c r="B27" s="1"/>
      <c r="C27" t="s">
        <v>66</v>
      </c>
      <c r="D27" t="s">
        <v>159</v>
      </c>
      <c r="E27" t="s">
        <v>160</v>
      </c>
      <c r="F27" t="s">
        <v>161</v>
      </c>
      <c r="G27" t="s">
        <v>162</v>
      </c>
    </row>
    <row r="28" spans="1:7" x14ac:dyDescent="0.3">
      <c r="A28" t="s">
        <v>103</v>
      </c>
      <c r="B28" s="1"/>
      <c r="C28" t="s">
        <v>71</v>
      </c>
      <c r="D28" t="s">
        <v>163</v>
      </c>
      <c r="E28" t="s">
        <v>164</v>
      </c>
      <c r="F28" t="s">
        <v>165</v>
      </c>
      <c r="G28" t="s">
        <v>166</v>
      </c>
    </row>
    <row r="29" spans="1:7" x14ac:dyDescent="0.3">
      <c r="A29" t="s">
        <v>104</v>
      </c>
      <c r="B29" s="1"/>
      <c r="C29" t="s">
        <v>76</v>
      </c>
      <c r="D29" t="s">
        <v>167</v>
      </c>
      <c r="E29" t="s">
        <v>168</v>
      </c>
      <c r="F29" t="s">
        <v>169</v>
      </c>
      <c r="G29" t="s">
        <v>170</v>
      </c>
    </row>
    <row r="30" spans="1:7" x14ac:dyDescent="0.3">
      <c r="A30" t="s">
        <v>105</v>
      </c>
      <c r="B30" s="1"/>
      <c r="C30" t="s">
        <v>81</v>
      </c>
      <c r="D30" t="s">
        <v>171</v>
      </c>
      <c r="E30" t="s">
        <v>172</v>
      </c>
      <c r="F30" t="s">
        <v>173</v>
      </c>
      <c r="G30" t="s">
        <v>174</v>
      </c>
    </row>
    <row r="31" spans="1:7" x14ac:dyDescent="0.3">
      <c r="A31" t="s">
        <v>106</v>
      </c>
      <c r="B31" s="1"/>
      <c r="C31" t="s">
        <v>86</v>
      </c>
      <c r="D31" t="s">
        <v>175</v>
      </c>
      <c r="E31" t="s">
        <v>176</v>
      </c>
      <c r="F31" t="s">
        <v>177</v>
      </c>
      <c r="G31" t="s">
        <v>178</v>
      </c>
    </row>
    <row r="32" spans="1:7" x14ac:dyDescent="0.3">
      <c r="A32" t="s">
        <v>107</v>
      </c>
      <c r="B32" s="1" t="s">
        <v>179</v>
      </c>
      <c r="C32" t="s">
        <v>16</v>
      </c>
      <c r="D32" t="s">
        <v>180</v>
      </c>
      <c r="E32" t="s">
        <v>181</v>
      </c>
      <c r="F32" t="s">
        <v>182</v>
      </c>
      <c r="G32" t="s">
        <v>183</v>
      </c>
    </row>
    <row r="33" spans="1:7" x14ac:dyDescent="0.3">
      <c r="A33" t="s">
        <v>108</v>
      </c>
      <c r="B33" s="1"/>
      <c r="C33" t="s">
        <v>21</v>
      </c>
      <c r="D33" t="s">
        <v>184</v>
      </c>
      <c r="E33" t="s">
        <v>185</v>
      </c>
      <c r="F33" t="s">
        <v>186</v>
      </c>
      <c r="G33" t="s">
        <v>187</v>
      </c>
    </row>
    <row r="34" spans="1:7" x14ac:dyDescent="0.3">
      <c r="A34" t="s">
        <v>109</v>
      </c>
      <c r="B34" s="1"/>
      <c r="C34" t="s">
        <v>26</v>
      </c>
      <c r="D34" t="s">
        <v>188</v>
      </c>
      <c r="E34" t="s">
        <v>189</v>
      </c>
      <c r="F34" t="s">
        <v>190</v>
      </c>
      <c r="G34" t="s">
        <v>191</v>
      </c>
    </row>
    <row r="35" spans="1:7" x14ac:dyDescent="0.3">
      <c r="A35" t="s">
        <v>110</v>
      </c>
      <c r="B35" s="1"/>
      <c r="C35" t="s">
        <v>31</v>
      </c>
      <c r="D35" t="s">
        <v>192</v>
      </c>
      <c r="E35" t="s">
        <v>193</v>
      </c>
      <c r="F35" t="s">
        <v>194</v>
      </c>
      <c r="G35" t="s">
        <v>195</v>
      </c>
    </row>
    <row r="36" spans="1:7" x14ac:dyDescent="0.3">
      <c r="A36" t="s">
        <v>111</v>
      </c>
      <c r="B36" s="1"/>
      <c r="C36" t="s">
        <v>36</v>
      </c>
      <c r="D36" t="s">
        <v>196</v>
      </c>
      <c r="E36" t="s">
        <v>197</v>
      </c>
      <c r="F36" t="s">
        <v>198</v>
      </c>
      <c r="G36" t="s">
        <v>199</v>
      </c>
    </row>
    <row r="37" spans="1:7" x14ac:dyDescent="0.3">
      <c r="A37" t="s">
        <v>112</v>
      </c>
      <c r="B37" s="1"/>
      <c r="C37" t="s">
        <v>41</v>
      </c>
      <c r="D37" t="s">
        <v>200</v>
      </c>
      <c r="E37" t="s">
        <v>201</v>
      </c>
      <c r="F37" t="s">
        <v>202</v>
      </c>
      <c r="G37" t="s">
        <v>203</v>
      </c>
    </row>
    <row r="38" spans="1:7" x14ac:dyDescent="0.3">
      <c r="A38" t="s">
        <v>113</v>
      </c>
      <c r="B38" s="1"/>
      <c r="C38" t="s">
        <v>46</v>
      </c>
      <c r="D38" t="s">
        <v>204</v>
      </c>
      <c r="E38" t="s">
        <v>205</v>
      </c>
      <c r="F38" t="s">
        <v>206</v>
      </c>
      <c r="G38" t="s">
        <v>207</v>
      </c>
    </row>
    <row r="39" spans="1:7" x14ac:dyDescent="0.3">
      <c r="A39" t="s">
        <v>114</v>
      </c>
      <c r="B39" s="1"/>
      <c r="C39" t="s">
        <v>51</v>
      </c>
      <c r="D39" t="s">
        <v>208</v>
      </c>
      <c r="E39" t="s">
        <v>209</v>
      </c>
      <c r="F39" t="s">
        <v>210</v>
      </c>
      <c r="G39" t="s">
        <v>211</v>
      </c>
    </row>
    <row r="40" spans="1:7" x14ac:dyDescent="0.3">
      <c r="A40" t="s">
        <v>115</v>
      </c>
      <c r="B40" s="1"/>
      <c r="C40" t="s">
        <v>56</v>
      </c>
      <c r="D40" t="s">
        <v>212</v>
      </c>
      <c r="E40" t="s">
        <v>213</v>
      </c>
      <c r="F40" t="s">
        <v>214</v>
      </c>
      <c r="G40" t="s">
        <v>215</v>
      </c>
    </row>
    <row r="41" spans="1:7" x14ac:dyDescent="0.3">
      <c r="A41" t="s">
        <v>116</v>
      </c>
      <c r="B41" s="1"/>
      <c r="C41" t="s">
        <v>61</v>
      </c>
      <c r="D41" t="s">
        <v>216</v>
      </c>
      <c r="E41" t="s">
        <v>217</v>
      </c>
      <c r="F41" t="s">
        <v>218</v>
      </c>
      <c r="G41" t="s">
        <v>219</v>
      </c>
    </row>
    <row r="42" spans="1:7" x14ac:dyDescent="0.3">
      <c r="A42" t="s">
        <v>117</v>
      </c>
      <c r="B42" s="1"/>
      <c r="C42" t="s">
        <v>66</v>
      </c>
      <c r="D42" t="s">
        <v>220</v>
      </c>
      <c r="E42" t="s">
        <v>221</v>
      </c>
      <c r="F42" t="s">
        <v>222</v>
      </c>
      <c r="G42" t="s">
        <v>223</v>
      </c>
    </row>
    <row r="43" spans="1:7" x14ac:dyDescent="0.3">
      <c r="A43" t="s">
        <v>118</v>
      </c>
      <c r="B43" s="1"/>
      <c r="C43" t="s">
        <v>71</v>
      </c>
      <c r="D43" t="s">
        <v>224</v>
      </c>
      <c r="E43" t="s">
        <v>225</v>
      </c>
      <c r="F43" t="s">
        <v>226</v>
      </c>
      <c r="G43" t="s">
        <v>227</v>
      </c>
    </row>
    <row r="44" spans="1:7" x14ac:dyDescent="0.3">
      <c r="A44" t="s">
        <v>119</v>
      </c>
      <c r="B44" s="1"/>
      <c r="C44" t="s">
        <v>76</v>
      </c>
      <c r="D44" t="s">
        <v>228</v>
      </c>
      <c r="E44" t="s">
        <v>229</v>
      </c>
      <c r="F44" t="s">
        <v>230</v>
      </c>
      <c r="G44" t="s">
        <v>231</v>
      </c>
    </row>
    <row r="45" spans="1:7" x14ac:dyDescent="0.3">
      <c r="A45" t="s">
        <v>120</v>
      </c>
      <c r="B45" s="1"/>
      <c r="C45" t="s">
        <v>81</v>
      </c>
      <c r="D45" t="s">
        <v>232</v>
      </c>
      <c r="E45" t="s">
        <v>233</v>
      </c>
      <c r="F45" t="s">
        <v>234</v>
      </c>
      <c r="G45" t="s">
        <v>235</v>
      </c>
    </row>
    <row r="46" spans="1:7" x14ac:dyDescent="0.3">
      <c r="A46" t="s">
        <v>121</v>
      </c>
      <c r="B46" s="1"/>
      <c r="C46" t="s">
        <v>86</v>
      </c>
      <c r="D46" t="s">
        <v>236</v>
      </c>
      <c r="E46" t="s">
        <v>237</v>
      </c>
      <c r="F46" t="s">
        <v>238</v>
      </c>
      <c r="G46" t="s">
        <v>239</v>
      </c>
    </row>
    <row r="47" spans="1:7" x14ac:dyDescent="0.3">
      <c r="A47" t="s">
        <v>250</v>
      </c>
      <c r="B47" t="str" cm="1">
        <f t="array" ref="B47:G47">_xlfn.TEXTSPLIT(A47,",")</f>
        <v>Deeplab_TVERSKY_1_Fold_2</v>
      </c>
      <c r="C47" t="str">
        <v>drusen</v>
      </c>
      <c r="D47" t="str">
        <v>0.3425674963390841</v>
      </c>
      <c r="E47" t="str">
        <v>0.5103169818622869</v>
      </c>
      <c r="F47" t="str">
        <v>0.5187938465076949</v>
      </c>
      <c r="G47" t="str">
        <v>0.502112680181943</v>
      </c>
    </row>
    <row r="48" spans="1:7" x14ac:dyDescent="0.3">
      <c r="A48" t="s">
        <v>251</v>
      </c>
      <c r="B48" t="str" cm="1">
        <f t="array" ref="B48:G48">_xlfn.TEXTSPLIT(A48,",")</f>
        <v>Deeplab_TVERSKY_1_Fold_2</v>
      </c>
      <c r="C48" t="str">
        <v>edema</v>
      </c>
      <c r="D48" t="str">
        <v>0.38120064752059374</v>
      </c>
      <c r="E48" t="str">
        <v>0.5519844610627581</v>
      </c>
      <c r="F48" t="str">
        <v>0.5846875673362015</v>
      </c>
      <c r="G48" t="str">
        <v>0.5227459136355913</v>
      </c>
    </row>
    <row r="49" spans="1:7" x14ac:dyDescent="0.3">
      <c r="A49" t="s">
        <v>252</v>
      </c>
      <c r="B49" t="str" cm="1">
        <f t="array" ref="B49:G49">_xlfn.TEXTSPLIT(A49,",")</f>
        <v>Deeplab_TVERSKY_1_Fold_2</v>
      </c>
      <c r="C49" t="str">
        <v>epiretinal_fibrosis</v>
      </c>
      <c r="D49" t="str">
        <v>0.6409633336660325</v>
      </c>
      <c r="E49" t="str">
        <v>0.7812037240759955</v>
      </c>
      <c r="F49" t="str">
        <v>0.745143038060556</v>
      </c>
      <c r="G49" t="str">
        <v>0.820932173284669</v>
      </c>
    </row>
    <row r="50" spans="1:7" x14ac:dyDescent="0.3">
      <c r="A50" t="s">
        <v>253</v>
      </c>
      <c r="B50" t="str" cm="1">
        <f t="array" ref="B50:G50">_xlfn.TEXTSPLIT(A50,",")</f>
        <v>Deeplab_TVERSKY_1_Fold_2</v>
      </c>
      <c r="C50" t="str">
        <v>fibrosis</v>
      </c>
      <c r="D50" t="str">
        <v>0.3574449288673427</v>
      </c>
      <c r="E50" t="str">
        <v>0.5266437278830841</v>
      </c>
      <c r="F50" t="str">
        <v>0.5872720553747234</v>
      </c>
      <c r="G50" t="str">
        <v>0.47736218823611226</v>
      </c>
    </row>
    <row r="51" spans="1:7" x14ac:dyDescent="0.3">
      <c r="A51" t="s">
        <v>254</v>
      </c>
      <c r="B51" t="str" cm="1">
        <f t="array" ref="B51:G51">_xlfn.TEXTSPLIT(A51,",")</f>
        <v>Deeplab_TVERSKY_1_Fold_2</v>
      </c>
      <c r="C51" t="str">
        <v>geographic_atrophy</v>
      </c>
      <c r="D51" t="str">
        <v>0.7303666165567899</v>
      </c>
      <c r="E51" t="str">
        <v>0.8441755747809409</v>
      </c>
      <c r="F51" t="str">
        <v>0.8254855329802061</v>
      </c>
      <c r="G51" t="str">
        <v>0.863731555140654</v>
      </c>
    </row>
    <row r="52" spans="1:7" x14ac:dyDescent="0.3">
      <c r="A52" t="s">
        <v>255</v>
      </c>
      <c r="B52" t="str" cm="1">
        <f t="array" ref="B52:G52">_xlfn.TEXTSPLIT(A52,",")</f>
        <v>Deeplab_TVERSKY_1_Fold_2</v>
      </c>
      <c r="C52" t="str">
        <v>hard_exudates</v>
      </c>
      <c r="D52" t="str">
        <v>0.5804658416086753</v>
      </c>
      <c r="E52" t="str">
        <v>0.7345503158965445</v>
      </c>
      <c r="F52" t="str">
        <v>0.733439257637178</v>
      </c>
      <c r="G52" t="str">
        <v>0.7356647454597933</v>
      </c>
    </row>
    <row r="53" spans="1:7" x14ac:dyDescent="0.3">
      <c r="A53" t="s">
        <v>256</v>
      </c>
      <c r="B53" t="str" cm="1">
        <f t="array" ref="B53:G53">_xlfn.TEXTSPLIT(A53,",")</f>
        <v>Deeplab_TVERSKY_1_Fold_2</v>
      </c>
      <c r="C53" t="str">
        <v>hemorrhages</v>
      </c>
      <c r="D53" t="str">
        <v>0.5406093622636293</v>
      </c>
      <c r="E53" t="str">
        <v>0.7018123808741598</v>
      </c>
      <c r="F53" t="str">
        <v>0.7063945123958123</v>
      </c>
      <c r="G53" t="str">
        <v>0.6972893115719454</v>
      </c>
    </row>
    <row r="54" spans="1:7" x14ac:dyDescent="0.3">
      <c r="A54" t="s">
        <v>257</v>
      </c>
      <c r="B54" t="str" cm="1">
        <f t="array" ref="B54:G54">_xlfn.TEXTSPLIT(A54,",")</f>
        <v>Deeplab_TVERSKY_1_Fold_2</v>
      </c>
      <c r="C54" t="str">
        <v>laser_coagulates</v>
      </c>
      <c r="D54" t="str">
        <v>0.5389543154933164</v>
      </c>
      <c r="E54" t="str">
        <v>0.7004162632606192</v>
      </c>
      <c r="F54" t="str">
        <v>0.5899125153055977</v>
      </c>
      <c r="G54" t="str">
        <v>0.8618622515070996</v>
      </c>
    </row>
    <row r="55" spans="1:7" x14ac:dyDescent="0.3">
      <c r="A55" t="s">
        <v>258</v>
      </c>
      <c r="B55" t="str" cm="1">
        <f t="array" ref="B55:G55">_xlfn.TEXTSPLIT(A55,",")</f>
        <v>Deeplab_TVERSKY_1_Fold_2</v>
      </c>
      <c r="C55" t="str">
        <v>macular_hole</v>
      </c>
      <c r="D55" t="str">
        <v>0.7820271011408995</v>
      </c>
      <c r="E55" t="str">
        <v>0.8776826128404285</v>
      </c>
      <c r="F55" t="str">
        <v>0.805952762526959</v>
      </c>
      <c r="G55" t="str">
        <v>0.9634277474506203</v>
      </c>
    </row>
    <row r="56" spans="1:7" x14ac:dyDescent="0.3">
      <c r="A56" t="s">
        <v>259</v>
      </c>
      <c r="B56" t="str" cm="1">
        <f t="array" ref="B56:G56">_xlfn.TEXTSPLIT(A56,",")</f>
        <v>Deeplab_TVERSKY_1_Fold_2</v>
      </c>
      <c r="C56" t="str">
        <v>microaneurysms</v>
      </c>
      <c r="D56" t="str">
        <v>0.14158069503935616</v>
      </c>
      <c r="E56" t="str">
        <v>0.24804325380515507</v>
      </c>
      <c r="F56" t="str">
        <v>0.23755112456301342</v>
      </c>
      <c r="G56" t="str">
        <v>0.2595050409624603</v>
      </c>
    </row>
    <row r="57" spans="1:7" x14ac:dyDescent="0.3">
      <c r="A57" t="s">
        <v>260</v>
      </c>
      <c r="B57" t="str" cm="1">
        <f t="array" ref="B57:G57">_xlfn.TEXTSPLIT(A57,",")</f>
        <v>Deeplab_TVERSKY_1_Fold_2</v>
      </c>
      <c r="C57" t="str">
        <v>neovascularization</v>
      </c>
      <c r="D57" t="str">
        <v>0.6156706749108222</v>
      </c>
      <c r="E57" t="str">
        <v>0.7621239705236396</v>
      </c>
      <c r="F57" t="str">
        <v>0.7009449404708502</v>
      </c>
      <c r="G57" t="str">
        <v>0.8350037606739735</v>
      </c>
    </row>
    <row r="58" spans="1:7" x14ac:dyDescent="0.3">
      <c r="A58" t="s">
        <v>261</v>
      </c>
      <c r="B58" t="str" cm="1">
        <f t="array" ref="B58:G58">_xlfn.TEXTSPLIT(A58,",")</f>
        <v>Deeplab_TVERSKY_1_Fold_2</v>
      </c>
      <c r="C58" t="str">
        <v>soft_exudates</v>
      </c>
      <c r="D58" t="str">
        <v>0.3455091912660255</v>
      </c>
      <c r="E58" t="str">
        <v>0.5135738849036426</v>
      </c>
      <c r="F58" t="str">
        <v>0.6664586513085814</v>
      </c>
      <c r="G58" t="str">
        <v>0.4177439536102479</v>
      </c>
    </row>
    <row r="59" spans="1:7" x14ac:dyDescent="0.3">
      <c r="A59" t="s">
        <v>262</v>
      </c>
      <c r="B59" t="str" cm="1">
        <f t="array" ref="B59:G59">_xlfn.TEXTSPLIT(A59,",")</f>
        <v>Deeplab_TVERSKY_1_Fold_2</v>
      </c>
      <c r="C59" t="str">
        <v>subretinal_hemorrhage</v>
      </c>
      <c r="D59" t="str">
        <v>0.513429134807789</v>
      </c>
      <c r="E59" t="str">
        <v>0.6784977545354264</v>
      </c>
      <c r="F59" t="str">
        <v>0.6657594123993356</v>
      </c>
      <c r="G59" t="str">
        <v>0.6917330648943297</v>
      </c>
    </row>
    <row r="60" spans="1:7" x14ac:dyDescent="0.3">
      <c r="A60" t="s">
        <v>263</v>
      </c>
      <c r="B60" t="str" cm="1">
        <f t="array" ref="B60:G60">_xlfn.TEXTSPLIT(A60,",")</f>
        <v>Deeplab_TVERSKY_1_Fold_2</v>
      </c>
      <c r="C60" t="str">
        <v>venous_anomalies</v>
      </c>
      <c r="D60" t="str">
        <v>0.20385106298103195</v>
      </c>
      <c r="E60" t="str">
        <v>0.33866492168266477</v>
      </c>
      <c r="F60" t="str">
        <v>0.3185036885850022</v>
      </c>
      <c r="G60" t="str">
        <v>0.3615510456732886</v>
      </c>
    </row>
    <row r="61" spans="1:7" x14ac:dyDescent="0.3">
      <c r="A61" t="s">
        <v>264</v>
      </c>
      <c r="B61" t="str" cm="1">
        <f t="array" ref="B61:G61">_xlfn.TEXTSPLIT(A61,",")</f>
        <v>Deeplab_TVERSKY_1_Fold_2</v>
      </c>
      <c r="C61" t="str">
        <v>MEAN</v>
      </c>
      <c r="D61" t="str">
        <v>0.47961717160438483</v>
      </c>
      <c r="E61" t="str">
        <v>0.6264064162848103</v>
      </c>
      <c r="F61" t="str">
        <v>0.6204499218179794</v>
      </c>
      <c r="G61" t="str">
        <v>0.6436189594487661</v>
      </c>
    </row>
    <row r="62" spans="1:7" x14ac:dyDescent="0.3">
      <c r="A62" t="s">
        <v>265</v>
      </c>
      <c r="B62" t="str" cm="1">
        <f t="array" ref="B62:G62">_xlfn.TEXTSPLIT(A62,",")</f>
        <v>Deeplab_TVERSKY_2_Fold_3</v>
      </c>
      <c r="C62" t="str">
        <v>drusen</v>
      </c>
      <c r="D62" t="str">
        <v>0.3807688124017207</v>
      </c>
      <c r="E62" t="str">
        <v>0.5515315945460968</v>
      </c>
      <c r="F62" t="str">
        <v>0.5718603226464947</v>
      </c>
      <c r="G62" t="str">
        <v>0.5325985598839772</v>
      </c>
    </row>
    <row r="63" spans="1:7" x14ac:dyDescent="0.3">
      <c r="A63" t="s">
        <v>266</v>
      </c>
      <c r="B63" t="str" cm="1">
        <f t="array" ref="B63:G63">_xlfn.TEXTSPLIT(A63,",")</f>
        <v>Deeplab_TVERSKY_2_Fold_3</v>
      </c>
      <c r="C63" t="str">
        <v>edema</v>
      </c>
      <c r="D63" t="str">
        <v>0.28826615048698107</v>
      </c>
      <c r="E63" t="str">
        <v>0.4475257700095788</v>
      </c>
      <c r="F63" t="str">
        <v>0.5376330066679861</v>
      </c>
      <c r="G63" t="str">
        <v>0.383286921381193</v>
      </c>
    </row>
    <row r="64" spans="1:7" x14ac:dyDescent="0.3">
      <c r="A64" t="s">
        <v>267</v>
      </c>
      <c r="B64" t="str" cm="1">
        <f t="array" ref="B64:G64">_xlfn.TEXTSPLIT(A64,",")</f>
        <v>Deeplab_TVERSKY_2_Fold_3</v>
      </c>
      <c r="C64" t="str">
        <v>epiretinal_fibrosis</v>
      </c>
      <c r="D64" t="str">
        <v>0.6163962639012817</v>
      </c>
      <c r="E64" t="str">
        <v>0.7626796444252693</v>
      </c>
      <c r="F64" t="str">
        <v>0.6977862994683831</v>
      </c>
      <c r="G64" t="str">
        <v>0.8408805991119593</v>
      </c>
    </row>
    <row r="65" spans="1:7" x14ac:dyDescent="0.3">
      <c r="A65" t="s">
        <v>268</v>
      </c>
      <c r="B65" t="str" cm="1">
        <f t="array" ref="B65:G65">_xlfn.TEXTSPLIT(A65,",")</f>
        <v>Deeplab_TVERSKY_2_Fold_3</v>
      </c>
      <c r="C65" t="str">
        <v>fibrosis</v>
      </c>
      <c r="D65" t="str">
        <v>0.4447708433029288</v>
      </c>
      <c r="E65" t="str">
        <v>0.6156974240788614</v>
      </c>
      <c r="F65" t="str">
        <v>0.6073625256848619</v>
      </c>
      <c r="G65" t="str">
        <v>0.624264266804212</v>
      </c>
    </row>
    <row r="66" spans="1:7" x14ac:dyDescent="0.3">
      <c r="A66" t="s">
        <v>269</v>
      </c>
      <c r="B66" t="str" cm="1">
        <f t="array" ref="B66:G66">_xlfn.TEXTSPLIT(A66,",")</f>
        <v>Deeplab_TVERSKY_2_Fold_3</v>
      </c>
      <c r="C66" t="str">
        <v>geographic_atrophy</v>
      </c>
      <c r="D66" t="str">
        <v>0.7398764808297295</v>
      </c>
      <c r="E66" t="str">
        <v>0.8504931114154608</v>
      </c>
      <c r="F66" t="str">
        <v>0.7920493630268552</v>
      </c>
      <c r="G66" t="str">
        <v>0.9182488706653593</v>
      </c>
    </row>
    <row r="67" spans="1:7" x14ac:dyDescent="0.3">
      <c r="A67" t="s">
        <v>270</v>
      </c>
      <c r="B67" t="str" cm="1">
        <f t="array" ref="B67:G67">_xlfn.TEXTSPLIT(A67,",")</f>
        <v>Deeplab_TVERSKY_2_Fold_3</v>
      </c>
      <c r="C67" t="str">
        <v>hard_exudates</v>
      </c>
      <c r="D67" t="str">
        <v>0.5735483617490933</v>
      </c>
      <c r="E67" t="str">
        <v>0.7289872693986473</v>
      </c>
      <c r="F67" t="str">
        <v>0.7683466664197762</v>
      </c>
      <c r="G67" t="str">
        <v>0.6934638275695917</v>
      </c>
    </row>
    <row r="68" spans="1:7" x14ac:dyDescent="0.3">
      <c r="A68" t="s">
        <v>271</v>
      </c>
      <c r="B68" t="str" cm="1">
        <f t="array" ref="B68:G68">_xlfn.TEXTSPLIT(A68,",")</f>
        <v>Deeplab_TVERSKY_2_Fold_3</v>
      </c>
      <c r="C68" t="str">
        <v>hemorrhages</v>
      </c>
      <c r="D68" t="str">
        <v>0.5200570205778495</v>
      </c>
      <c r="E68" t="str">
        <v>0.6842598843826924</v>
      </c>
      <c r="F68" t="str">
        <v>0.6780194056684787</v>
      </c>
      <c r="G68" t="str">
        <v>0.6906163047348993</v>
      </c>
    </row>
    <row r="69" spans="1:7" x14ac:dyDescent="0.3">
      <c r="A69" t="s">
        <v>272</v>
      </c>
      <c r="B69" t="str" cm="1">
        <f t="array" ref="B69:G69">_xlfn.TEXTSPLIT(A69,",")</f>
        <v>Deeplab_TVERSKY_2_Fold_3</v>
      </c>
      <c r="C69" t="str">
        <v>laser_coagulates</v>
      </c>
      <c r="D69" t="str">
        <v>0.6039018599539585</v>
      </c>
      <c r="E69" t="str">
        <v>0.7530409123302519</v>
      </c>
      <c r="F69" t="str">
        <v>0.7130286871943761</v>
      </c>
      <c r="G69" t="str">
        <v>0.7978107570804295</v>
      </c>
    </row>
    <row r="70" spans="1:7" x14ac:dyDescent="0.3">
      <c r="A70" t="s">
        <v>273</v>
      </c>
      <c r="B70" t="str" cm="1">
        <f t="array" ref="B70:G70">_xlfn.TEXTSPLIT(A70,",")</f>
        <v>Deeplab_TVERSKY_2_Fold_3</v>
      </c>
      <c r="C70" t="str">
        <v>macular_hole</v>
      </c>
      <c r="D70" t="str">
        <v>0.8069221297539</v>
      </c>
      <c r="E70" t="str">
        <v>0.8931454393818306</v>
      </c>
      <c r="F70" t="str">
        <v>0.8141924975516761</v>
      </c>
      <c r="G70" t="str">
        <v>0.9890549417644022</v>
      </c>
    </row>
    <row r="71" spans="1:7" x14ac:dyDescent="0.3">
      <c r="A71" t="s">
        <v>274</v>
      </c>
      <c r="B71" t="str" cm="1">
        <f t="array" ref="B71:G71">_xlfn.TEXTSPLIT(A71,",")</f>
        <v>Deeplab_TVERSKY_2_Fold_3</v>
      </c>
      <c r="C71" t="str">
        <v>microaneurysms</v>
      </c>
      <c r="D71" t="str">
        <v>0.12520947055792786</v>
      </c>
      <c r="E71" t="str">
        <v>0.22255317580262374</v>
      </c>
      <c r="F71" t="str">
        <v>0.26171546484687597</v>
      </c>
      <c r="G71" t="str">
        <v>0.19358562441067292</v>
      </c>
    </row>
    <row r="72" spans="1:7" x14ac:dyDescent="0.3">
      <c r="A72" t="s">
        <v>275</v>
      </c>
      <c r="B72" t="str" cm="1">
        <f t="array" ref="B72:G72">_xlfn.TEXTSPLIT(A72,",")</f>
        <v>Deeplab_TVERSKY_2_Fold_3</v>
      </c>
      <c r="C72" t="str">
        <v>neovascularization</v>
      </c>
      <c r="D72" t="str">
        <v>0.6462370565448473</v>
      </c>
      <c r="E72" t="str">
        <v>0.7851081397732372</v>
      </c>
      <c r="F72" t="str">
        <v>0.7209606557083512</v>
      </c>
      <c r="G72" t="str">
        <v>0.8617855178460372</v>
      </c>
    </row>
    <row r="73" spans="1:7" x14ac:dyDescent="0.3">
      <c r="A73" t="s">
        <v>276</v>
      </c>
      <c r="B73" t="str" cm="1">
        <f t="array" ref="B73:G73">_xlfn.TEXTSPLIT(A73,",")</f>
        <v>Deeplab_TVERSKY_2_Fold_3</v>
      </c>
      <c r="C73" t="str">
        <v>soft_exudates</v>
      </c>
      <c r="D73" t="str">
        <v>0.4991055936174937</v>
      </c>
      <c r="E73" t="str">
        <v>0.6658711644362574</v>
      </c>
      <c r="F73" t="str">
        <v>0.6486812600478785</v>
      </c>
      <c r="G73" t="str">
        <v>0.6839969258564711</v>
      </c>
    </row>
    <row r="74" spans="1:7" x14ac:dyDescent="0.3">
      <c r="A74" t="s">
        <v>277</v>
      </c>
      <c r="B74" t="str" cm="1">
        <f t="array" ref="B74:G74">_xlfn.TEXTSPLIT(A74,",")</f>
        <v>Deeplab_TVERSKY_2_Fold_3</v>
      </c>
      <c r="C74" t="str">
        <v>subretinal_hemorrhage</v>
      </c>
      <c r="D74" t="str">
        <v>0.45535743056222977</v>
      </c>
      <c r="E74" t="str">
        <v>0.62576714283352</v>
      </c>
      <c r="F74" t="str">
        <v>0.6233215333647896</v>
      </c>
      <c r="G74" t="str">
        <v>0.6282320186498123</v>
      </c>
    </row>
    <row r="75" spans="1:7" x14ac:dyDescent="0.3">
      <c r="A75" t="s">
        <v>278</v>
      </c>
      <c r="B75" t="str" cm="1">
        <f t="array" ref="B75:G75">_xlfn.TEXTSPLIT(A75,",")</f>
        <v>Deeplab_TVERSKY_2_Fold_3</v>
      </c>
      <c r="C75" t="str">
        <v>venous_anomalies</v>
      </c>
      <c r="D75" t="str">
        <v>0.34038821547678316</v>
      </c>
      <c r="E75" t="str">
        <v>0.5078949688552808</v>
      </c>
      <c r="F75" t="str">
        <v>0.5225746440582746</v>
      </c>
      <c r="G75" t="str">
        <v>0.4940174942351529</v>
      </c>
    </row>
    <row r="76" spans="1:7" x14ac:dyDescent="0.3">
      <c r="A76" t="s">
        <v>279</v>
      </c>
      <c r="B76" t="str" cm="1">
        <f t="array" ref="B76:G76">_xlfn.TEXTSPLIT(A76,",")</f>
        <v>Deeplab_TVERSKY_2_Fold_3</v>
      </c>
      <c r="C76" t="str">
        <v>MEAN</v>
      </c>
      <c r="D76" t="str">
        <v>0.5029146921226232</v>
      </c>
      <c r="E76" t="str">
        <v>0.649611117262115</v>
      </c>
      <c r="F76" t="str">
        <v>0.6398237380253613</v>
      </c>
      <c r="G76" t="str">
        <v>0.6665601878567264</v>
      </c>
    </row>
    <row r="77" spans="1:7" x14ac:dyDescent="0.3">
      <c r="A77" t="s">
        <v>280</v>
      </c>
      <c r="B77" t="str" cm="1">
        <f t="array" ref="B77:G77">_xlfn.TEXTSPLIT(A77,",")</f>
        <v>Deeplab_TVERSKY_3_Fold_1</v>
      </c>
      <c r="C77" t="str">
        <v>drusen</v>
      </c>
      <c r="D77" t="str">
        <v>0.3684293820361427</v>
      </c>
      <c r="E77" t="str">
        <v>0.5384704346057543</v>
      </c>
      <c r="F77" t="str">
        <v>0.5201188880886478</v>
      </c>
      <c r="G77" t="str">
        <v>0.5581643533008027</v>
      </c>
    </row>
    <row r="78" spans="1:7" x14ac:dyDescent="0.3">
      <c r="A78" t="s">
        <v>281</v>
      </c>
      <c r="B78" t="str" cm="1">
        <f t="array" ref="B78:G78">_xlfn.TEXTSPLIT(A78,",")</f>
        <v>Deeplab_TVERSKY_3_Fold_1</v>
      </c>
      <c r="C78" t="str">
        <v>edema</v>
      </c>
      <c r="D78" t="str">
        <v>0.41650001275612514</v>
      </c>
      <c r="E78" t="str">
        <v>0.5880691973249319</v>
      </c>
      <c r="F78" t="str">
        <v>0.6062428205778808</v>
      </c>
      <c r="G78" t="str">
        <v>0.5709534596718977</v>
      </c>
    </row>
    <row r="79" spans="1:7" x14ac:dyDescent="0.3">
      <c r="A79" t="s">
        <v>282</v>
      </c>
      <c r="B79" t="str" cm="1">
        <f t="array" ref="B79:G79">_xlfn.TEXTSPLIT(A79,",")</f>
        <v>Deeplab_TVERSKY_3_Fold_1</v>
      </c>
      <c r="C79" t="str">
        <v>epiretinal_fibrosis</v>
      </c>
      <c r="D79" t="str">
        <v>0.6275894462025496</v>
      </c>
      <c r="E79" t="str">
        <v>0.7711888863212101</v>
      </c>
      <c r="F79" t="str">
        <v>0.7490729639101212</v>
      </c>
      <c r="G79" t="str">
        <v>0.7946504564010587</v>
      </c>
    </row>
    <row r="80" spans="1:7" x14ac:dyDescent="0.3">
      <c r="A80" t="s">
        <v>283</v>
      </c>
      <c r="B80" t="str" cm="1">
        <f t="array" ref="B80:G80">_xlfn.TEXTSPLIT(A80,",")</f>
        <v>Deeplab_TVERSKY_3_Fold_1</v>
      </c>
      <c r="C80" t="str">
        <v>fibrosis</v>
      </c>
      <c r="D80" t="str">
        <v>0.3971015403907574</v>
      </c>
      <c r="E80" t="str">
        <v>0.5684648236515314</v>
      </c>
      <c r="F80" t="str">
        <v>0.5739224235183331</v>
      </c>
      <c r="G80" t="str">
        <v>0.5631100419527791</v>
      </c>
    </row>
    <row r="81" spans="1:7" x14ac:dyDescent="0.3">
      <c r="A81" t="s">
        <v>284</v>
      </c>
      <c r="B81" t="str" cm="1">
        <f t="array" ref="B81:G81">_xlfn.TEXTSPLIT(A81,",")</f>
        <v>Deeplab_TVERSKY_3_Fold_1</v>
      </c>
      <c r="C81" t="str">
        <v>geographic_atrophy</v>
      </c>
      <c r="D81" t="str">
        <v>0.7991647219849086</v>
      </c>
      <c r="E81" t="str">
        <v>0.8883730458023199</v>
      </c>
      <c r="F81" t="str">
        <v>0.8308156028333379</v>
      </c>
      <c r="G81" t="str">
        <v>0.9544990611138338</v>
      </c>
    </row>
    <row r="82" spans="1:7" x14ac:dyDescent="0.3">
      <c r="A82" t="s">
        <v>285</v>
      </c>
      <c r="B82" t="str" cm="1">
        <f t="array" ref="B82:G82">_xlfn.TEXTSPLIT(A82,",")</f>
        <v>Deeplab_TVERSKY_3_Fold_1</v>
      </c>
      <c r="C82" t="str">
        <v>hard_exudates</v>
      </c>
      <c r="D82" t="str">
        <v>0.48091135571277377</v>
      </c>
      <c r="E82" t="str">
        <v>0.6494802728841356</v>
      </c>
      <c r="F82" t="str">
        <v>0.6878065877316693</v>
      </c>
      <c r="G82" t="str">
        <v>0.615199791532289</v>
      </c>
    </row>
    <row r="83" spans="1:7" x14ac:dyDescent="0.3">
      <c r="A83" t="s">
        <v>286</v>
      </c>
      <c r="B83" t="str" cm="1">
        <f t="array" ref="B83:G83">_xlfn.TEXTSPLIT(A83,",")</f>
        <v>Deeplab_TVERSKY_3_Fold_1</v>
      </c>
      <c r="C83" t="str">
        <v>hemorrhages</v>
      </c>
      <c r="D83" t="str">
        <v>0.582338408774168</v>
      </c>
      <c r="E83" t="str">
        <v>0.7360478713593301</v>
      </c>
      <c r="F83" t="str">
        <v>0.77185433857516</v>
      </c>
      <c r="G83" t="str">
        <v>0.7034162594423673</v>
      </c>
    </row>
    <row r="84" spans="1:7" x14ac:dyDescent="0.3">
      <c r="A84" t="s">
        <v>287</v>
      </c>
      <c r="B84" t="str" cm="1">
        <f t="array" ref="B84:G84">_xlfn.TEXTSPLIT(A84,",")</f>
        <v>Deeplab_TVERSKY_3_Fold_1</v>
      </c>
      <c r="C84" t="str">
        <v>laser_coagulates</v>
      </c>
      <c r="D84" t="str">
        <v>0.643288723463459</v>
      </c>
      <c r="E84" t="str">
        <v>0.7829284218632483</v>
      </c>
      <c r="F84" t="str">
        <v>0.7108752700678214</v>
      </c>
      <c r="G84" t="str">
        <v>0.8712354150181105</v>
      </c>
    </row>
    <row r="85" spans="1:7" x14ac:dyDescent="0.3">
      <c r="A85" t="s">
        <v>288</v>
      </c>
      <c r="B85" t="str" cm="1">
        <f t="array" ref="B85:G85">_xlfn.TEXTSPLIT(A85,",")</f>
        <v>Deeplab_TVERSKY_3_Fold_1</v>
      </c>
      <c r="C85" t="str">
        <v>macular_hole</v>
      </c>
      <c r="D85" t="str">
        <v>0.7687007446901396</v>
      </c>
      <c r="E85" t="str">
        <v>0.8692264612856361</v>
      </c>
      <c r="F85" t="str">
        <v>0.7807264470014121</v>
      </c>
      <c r="G85" t="str">
        <v>0.9803556389708654</v>
      </c>
    </row>
    <row r="86" spans="1:7" x14ac:dyDescent="0.3">
      <c r="A86" t="s">
        <v>289</v>
      </c>
      <c r="B86" t="str" cm="1">
        <f t="array" ref="B86:G86">_xlfn.TEXTSPLIT(A86,",")</f>
        <v>Deeplab_TVERSKY_3_Fold_1</v>
      </c>
      <c r="C86" t="str">
        <v>microaneurysms</v>
      </c>
      <c r="D86" t="str">
        <v>0.11284045129749536</v>
      </c>
      <c r="E86" t="str">
        <v>0.20279717755753965</v>
      </c>
      <c r="F86" t="str">
        <v>0.2603924331035393</v>
      </c>
      <c r="G86" t="str">
        <v>0.16606570749632563</v>
      </c>
    </row>
    <row r="87" spans="1:7" x14ac:dyDescent="0.3">
      <c r="A87" t="s">
        <v>290</v>
      </c>
      <c r="B87" t="str" cm="1">
        <f t="array" ref="B87:G87">_xlfn.TEXTSPLIT(A87,",")</f>
        <v>Deeplab_TVERSKY_3_Fold_1</v>
      </c>
      <c r="C87" t="str">
        <v>neovascularization</v>
      </c>
      <c r="D87" t="str">
        <v>0.5817155776002738</v>
      </c>
      <c r="E87" t="str">
        <v>0.7355501657040431</v>
      </c>
      <c r="F87" t="str">
        <v>0.6773527011326</v>
      </c>
      <c r="G87" t="str">
        <v>0.8046881656454155</v>
      </c>
    </row>
    <row r="88" spans="1:7" x14ac:dyDescent="0.3">
      <c r="A88" t="s">
        <v>291</v>
      </c>
      <c r="B88" t="str" cm="1">
        <f t="array" ref="B88:G88">_xlfn.TEXTSPLIT(A88,",")</f>
        <v>Deeplab_TVERSKY_3_Fold_1</v>
      </c>
      <c r="C88" t="str">
        <v>soft_exudates</v>
      </c>
      <c r="D88" t="str">
        <v>0.527657007718683</v>
      </c>
      <c r="E88" t="str">
        <v>0.6908055997552177</v>
      </c>
      <c r="F88" t="str">
        <v>0.7771912442594842</v>
      </c>
      <c r="G88" t="str">
        <v>0.6217026770873036</v>
      </c>
    </row>
    <row r="89" spans="1:7" x14ac:dyDescent="0.3">
      <c r="A89" t="s">
        <v>292</v>
      </c>
      <c r="B89" t="str" cm="1">
        <f t="array" ref="B89:G89">_xlfn.TEXTSPLIT(A89,",")</f>
        <v>Deeplab_TVERSKY_3_Fold_1</v>
      </c>
      <c r="C89" t="str">
        <v>subretinal_hemorrhage</v>
      </c>
      <c r="D89" t="str">
        <v>0.5435281678781153</v>
      </c>
      <c r="E89" t="str">
        <v>0.7042672484886392</v>
      </c>
      <c r="F89" t="str">
        <v>0.7216593775851909</v>
      </c>
      <c r="G89" t="str">
        <v>0.6876936987516415</v>
      </c>
    </row>
    <row r="90" spans="1:7" x14ac:dyDescent="0.3">
      <c r="A90" t="s">
        <v>293</v>
      </c>
      <c r="B90" t="str" cm="1">
        <f t="array" ref="B90:G90">_xlfn.TEXTSPLIT(A90,",")</f>
        <v>Deeplab_TVERSKY_3_Fold_1</v>
      </c>
      <c r="C90" t="str">
        <v>venous_anomalies</v>
      </c>
      <c r="D90" t="str">
        <v>0.0</v>
      </c>
      <c r="E90" t="str">
        <v>0.0</v>
      </c>
      <c r="F90" t="str">
        <v>0.0</v>
      </c>
      <c r="G90" t="str">
        <v>0.0</v>
      </c>
    </row>
    <row r="91" spans="1:7" x14ac:dyDescent="0.3">
      <c r="A91" t="s">
        <v>294</v>
      </c>
      <c r="B91" t="str" cm="1">
        <f t="array" ref="B91:G91">_xlfn.TEXTSPLIT(A91,",")</f>
        <v>Deeplab_TVERSKY_3_Fold_1</v>
      </c>
      <c r="C91" t="str">
        <v>MEAN</v>
      </c>
      <c r="D91" t="str">
        <v>0.4892689671789708</v>
      </c>
      <c r="E91" t="str">
        <v>0.6232621147573955</v>
      </c>
      <c r="F91" t="str">
        <v>0.6191450784560856</v>
      </c>
      <c r="G91" t="str">
        <v>0.635123909027478</v>
      </c>
    </row>
  </sheetData>
  <mergeCells count="3">
    <mergeCell ref="B2:B16"/>
    <mergeCell ref="B32:B46"/>
    <mergeCell ref="B17:B3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F012F-A572-4070-8576-1CD113E43C0F}">
  <dimension ref="A1:R91"/>
  <sheetViews>
    <sheetView tabSelected="1" topLeftCell="B1" workbookViewId="0">
      <selection activeCell="R4" sqref="R4"/>
    </sheetView>
  </sheetViews>
  <sheetFormatPr defaultRowHeight="14.4" x14ac:dyDescent="0.3"/>
  <cols>
    <col min="1" max="1" width="24.88671875" customWidth="1"/>
    <col min="2" max="2" width="22" customWidth="1"/>
    <col min="3" max="3" width="10.77734375" customWidth="1"/>
    <col min="4" max="4" width="13.21875" customWidth="1"/>
    <col min="6" max="6" width="11.77734375" customWidth="1"/>
    <col min="8" max="8" width="25.5546875" customWidth="1"/>
    <col min="14" max="14" width="17.5546875" customWidth="1"/>
  </cols>
  <sheetData>
    <row r="1" spans="1:18" x14ac:dyDescent="0.3">
      <c r="A1" s="3" t="s">
        <v>244</v>
      </c>
      <c r="B1" s="3" t="s">
        <v>245</v>
      </c>
      <c r="C1" s="5" t="s">
        <v>246</v>
      </c>
      <c r="D1" s="5" t="s">
        <v>247</v>
      </c>
      <c r="E1" s="5" t="s">
        <v>248</v>
      </c>
      <c r="F1" s="5" t="s">
        <v>249</v>
      </c>
      <c r="G1" s="2"/>
      <c r="H1" s="3"/>
      <c r="I1" s="4" t="s">
        <v>86</v>
      </c>
      <c r="J1" s="4"/>
      <c r="K1" s="4"/>
      <c r="L1" s="4"/>
    </row>
    <row r="2" spans="1:18" x14ac:dyDescent="0.3">
      <c r="A2" s="4" t="s">
        <v>91</v>
      </c>
      <c r="B2" s="3" t="s">
        <v>16</v>
      </c>
      <c r="C2" s="6">
        <v>0.33971188298596999</v>
      </c>
      <c r="D2" s="6">
        <v>0.50714170307844897</v>
      </c>
      <c r="E2" s="6">
        <v>0.58487299440614704</v>
      </c>
      <c r="F2" s="6">
        <v>0.44764800478042499</v>
      </c>
      <c r="G2" s="2"/>
      <c r="H2" s="3"/>
      <c r="I2" s="5" t="s">
        <v>246</v>
      </c>
      <c r="J2" s="5" t="s">
        <v>247</v>
      </c>
      <c r="K2" s="5" t="s">
        <v>248</v>
      </c>
      <c r="L2" s="5" t="s">
        <v>249</v>
      </c>
      <c r="O2" s="5" t="s">
        <v>246</v>
      </c>
      <c r="P2" s="5" t="s">
        <v>247</v>
      </c>
      <c r="Q2" s="5" t="s">
        <v>248</v>
      </c>
      <c r="R2" s="5" t="s">
        <v>249</v>
      </c>
    </row>
    <row r="3" spans="1:18" x14ac:dyDescent="0.3">
      <c r="A3" s="4"/>
      <c r="B3" s="3" t="s">
        <v>21</v>
      </c>
      <c r="C3" s="6">
        <v>0.369328801790407</v>
      </c>
      <c r="D3" s="6">
        <v>0.53943041482441201</v>
      </c>
      <c r="E3" s="6">
        <v>0.54435978810580099</v>
      </c>
      <c r="F3" s="6">
        <v>0.53458951487421003</v>
      </c>
      <c r="G3" s="2"/>
      <c r="H3" s="3" t="s">
        <v>91</v>
      </c>
      <c r="I3" s="6">
        <v>0.46134664184725299</v>
      </c>
      <c r="J3" s="6">
        <v>0.608489664053254</v>
      </c>
      <c r="K3" s="6">
        <v>0.62419701880038703</v>
      </c>
      <c r="L3" s="6">
        <v>0.61500231410869299</v>
      </c>
      <c r="N3" t="s">
        <v>298</v>
      </c>
      <c r="O3" s="7">
        <f>AVERAGE(I3:I5)</f>
        <v>0.48235261073196534</v>
      </c>
      <c r="P3" s="7">
        <f>AVERAGE(J3:J5)</f>
        <v>0.62677504211025326</v>
      </c>
      <c r="Q3" s="7">
        <f t="shared" ref="P3:R3" si="0">AVERAGE(K3:K5)</f>
        <v>0.6453518346409034</v>
      </c>
      <c r="R3" s="7">
        <f t="shared" si="0"/>
        <v>0.63652623645490536</v>
      </c>
    </row>
    <row r="4" spans="1:18" x14ac:dyDescent="0.3">
      <c r="A4" s="4"/>
      <c r="B4" s="3" t="s">
        <v>26</v>
      </c>
      <c r="C4" s="6">
        <v>0.61370826912064302</v>
      </c>
      <c r="D4" s="6">
        <v>0.76061860853581698</v>
      </c>
      <c r="E4" s="6">
        <v>0.70173546729434699</v>
      </c>
      <c r="F4" s="6">
        <v>0.83028875071652097</v>
      </c>
      <c r="G4" s="2"/>
      <c r="H4" s="3" t="s">
        <v>122</v>
      </c>
      <c r="I4" s="6">
        <v>0.494077291772059</v>
      </c>
      <c r="J4" s="6">
        <v>0.64189951299723702</v>
      </c>
      <c r="K4" s="6">
        <v>0.63425758562163403</v>
      </c>
      <c r="L4" s="6">
        <v>0.65991566761756504</v>
      </c>
      <c r="N4" t="s">
        <v>299</v>
      </c>
      <c r="O4" s="7">
        <f>AVERAGE(I6:I8)</f>
        <v>0.49060027696865899</v>
      </c>
      <c r="P4" s="7">
        <f t="shared" ref="P4:R4" si="1">AVERAGE(J6:J8)</f>
        <v>0.63309321610143998</v>
      </c>
      <c r="Q4" s="7">
        <f t="shared" si="1"/>
        <v>0.62647291276647499</v>
      </c>
      <c r="R4" s="7">
        <f t="shared" si="1"/>
        <v>0.64843435211098999</v>
      </c>
    </row>
    <row r="5" spans="1:18" x14ac:dyDescent="0.3">
      <c r="A5" s="4"/>
      <c r="B5" s="3" t="s">
        <v>31</v>
      </c>
      <c r="C5" s="6">
        <v>0.32915328187489001</v>
      </c>
      <c r="D5" s="6">
        <v>0.49528265304448499</v>
      </c>
      <c r="E5" s="6">
        <v>0.62144706560014995</v>
      </c>
      <c r="F5" s="6">
        <v>0.41170040906327598</v>
      </c>
      <c r="G5" s="2"/>
      <c r="H5" s="3" t="s">
        <v>179</v>
      </c>
      <c r="I5" s="6">
        <v>0.49163389857658402</v>
      </c>
      <c r="J5" s="6">
        <v>0.62993594928026897</v>
      </c>
      <c r="K5" s="6">
        <v>0.67760089950068902</v>
      </c>
      <c r="L5" s="6">
        <v>0.63466072763845804</v>
      </c>
    </row>
    <row r="6" spans="1:18" x14ac:dyDescent="0.3">
      <c r="A6" s="4"/>
      <c r="B6" s="3" t="s">
        <v>36</v>
      </c>
      <c r="C6" s="6">
        <v>0.71644917826667898</v>
      </c>
      <c r="D6" s="6">
        <v>0.83480383496139399</v>
      </c>
      <c r="E6" s="6">
        <v>0.81181673677266797</v>
      </c>
      <c r="F6" s="6">
        <v>0.85913065634836305</v>
      </c>
      <c r="G6" s="2"/>
      <c r="H6" s="8" t="s">
        <v>295</v>
      </c>
      <c r="I6" s="6">
        <v>0.479617171604384</v>
      </c>
      <c r="J6" s="6">
        <v>0.62640641628480997</v>
      </c>
      <c r="K6" s="6">
        <v>0.62044992181797898</v>
      </c>
      <c r="L6" s="6">
        <v>0.64361895944876601</v>
      </c>
    </row>
    <row r="7" spans="1:18" x14ac:dyDescent="0.3">
      <c r="A7" s="4"/>
      <c r="B7" s="3" t="s">
        <v>41</v>
      </c>
      <c r="C7" s="6">
        <v>0.58270324189242395</v>
      </c>
      <c r="D7" s="6">
        <v>0.73633922831381904</v>
      </c>
      <c r="E7" s="6">
        <v>0.72522717384876201</v>
      </c>
      <c r="F7" s="6">
        <v>0.74779710308453295</v>
      </c>
      <c r="G7" s="2"/>
      <c r="H7" s="8" t="s">
        <v>296</v>
      </c>
      <c r="I7" s="6">
        <v>0.50291469212262296</v>
      </c>
      <c r="J7" s="6">
        <v>0.64961111726211496</v>
      </c>
      <c r="K7" s="6">
        <v>0.63982373802536097</v>
      </c>
      <c r="L7" s="6">
        <v>0.66656018785672599</v>
      </c>
    </row>
    <row r="8" spans="1:18" x14ac:dyDescent="0.3">
      <c r="A8" s="4"/>
      <c r="B8" s="3" t="s">
        <v>46</v>
      </c>
      <c r="C8" s="6">
        <v>0.54465806541614803</v>
      </c>
      <c r="D8" s="6">
        <v>0.70521506035630099</v>
      </c>
      <c r="E8" s="6">
        <v>0.72748889133609795</v>
      </c>
      <c r="F8" s="6">
        <v>0.68426464418961197</v>
      </c>
      <c r="G8" s="2"/>
      <c r="H8" s="8" t="s">
        <v>297</v>
      </c>
      <c r="I8" s="6">
        <v>0.48926896717897</v>
      </c>
      <c r="J8" s="6">
        <v>0.62326211475739501</v>
      </c>
      <c r="K8" s="6">
        <v>0.61914507845608502</v>
      </c>
      <c r="L8" s="6">
        <v>0.63512390902747795</v>
      </c>
    </row>
    <row r="9" spans="1:18" x14ac:dyDescent="0.3">
      <c r="A9" s="4"/>
      <c r="B9" s="3" t="s">
        <v>51</v>
      </c>
      <c r="C9" s="6">
        <v>0.54135660125221696</v>
      </c>
      <c r="D9" s="6">
        <v>0.70244173322696701</v>
      </c>
      <c r="E9" s="6">
        <v>0.60942028827127703</v>
      </c>
      <c r="F9" s="6">
        <v>0.82897599229386798</v>
      </c>
      <c r="G9" s="2"/>
    </row>
    <row r="10" spans="1:18" x14ac:dyDescent="0.3">
      <c r="A10" s="4"/>
      <c r="B10" s="3" t="s">
        <v>56</v>
      </c>
      <c r="C10" s="6">
        <v>0.72637375403692295</v>
      </c>
      <c r="D10" s="6">
        <v>0.84150231354987104</v>
      </c>
      <c r="E10" s="6">
        <v>0.74544208841279502</v>
      </c>
      <c r="F10" s="6">
        <v>0.96598207848368101</v>
      </c>
      <c r="G10" s="2"/>
    </row>
    <row r="11" spans="1:18" x14ac:dyDescent="0.3">
      <c r="A11" s="4"/>
      <c r="B11" s="3" t="s">
        <v>61</v>
      </c>
      <c r="C11" s="6">
        <v>0.162017006564732</v>
      </c>
      <c r="D11" s="6">
        <v>0.27885479411992897</v>
      </c>
      <c r="E11" s="6">
        <v>0.31349026052461298</v>
      </c>
      <c r="F11" s="6">
        <v>0.25111117994126497</v>
      </c>
      <c r="G11" s="2"/>
    </row>
    <row r="12" spans="1:18" x14ac:dyDescent="0.3">
      <c r="A12" s="4"/>
      <c r="B12" s="3" t="s">
        <v>66</v>
      </c>
      <c r="C12" s="6">
        <v>0.585951062806081</v>
      </c>
      <c r="D12" s="6">
        <v>0.738927040749084</v>
      </c>
      <c r="E12" s="6">
        <v>0.67427258870173101</v>
      </c>
      <c r="F12" s="6">
        <v>0.81729564570034896</v>
      </c>
      <c r="G12" s="2"/>
    </row>
    <row r="13" spans="1:18" x14ac:dyDescent="0.3">
      <c r="A13" s="4"/>
      <c r="B13" s="3" t="s">
        <v>71</v>
      </c>
      <c r="C13" s="6">
        <v>0.32011139129892502</v>
      </c>
      <c r="D13" s="6">
        <v>0.484976333677344</v>
      </c>
      <c r="E13" s="6">
        <v>0.71479160205688597</v>
      </c>
      <c r="F13" s="6">
        <v>0.36698548502905698</v>
      </c>
      <c r="G13" s="2"/>
    </row>
    <row r="14" spans="1:18" x14ac:dyDescent="0.3">
      <c r="A14" s="4"/>
      <c r="B14" s="3" t="s">
        <v>76</v>
      </c>
      <c r="C14" s="6">
        <v>0.498890140468289</v>
      </c>
      <c r="D14" s="6">
        <v>0.66567939437165702</v>
      </c>
      <c r="E14" s="6">
        <v>0.64537090292710197</v>
      </c>
      <c r="F14" s="6">
        <v>0.68730754547635098</v>
      </c>
      <c r="G14" s="2"/>
    </row>
    <row r="15" spans="1:18" x14ac:dyDescent="0.3">
      <c r="A15" s="4"/>
      <c r="B15" s="3" t="s">
        <v>81</v>
      </c>
      <c r="C15" s="6">
        <v>0.12844030808720799</v>
      </c>
      <c r="D15" s="6">
        <v>0.227642183936029</v>
      </c>
      <c r="E15" s="6">
        <v>0.31902241494704098</v>
      </c>
      <c r="F15" s="6">
        <v>0.176955387540189</v>
      </c>
      <c r="G15" s="2"/>
    </row>
    <row r="16" spans="1:18" x14ac:dyDescent="0.3">
      <c r="A16" s="4"/>
      <c r="B16" s="3" t="s">
        <v>86</v>
      </c>
      <c r="C16" s="6">
        <v>0.46134664184725299</v>
      </c>
      <c r="D16" s="6">
        <v>0.608489664053254</v>
      </c>
      <c r="E16" s="6">
        <v>0.62419701880038703</v>
      </c>
      <c r="F16" s="6">
        <v>0.61500231410869299</v>
      </c>
      <c r="G16" s="2"/>
    </row>
    <row r="17" spans="1:7" x14ac:dyDescent="0.3">
      <c r="A17" s="4" t="s">
        <v>122</v>
      </c>
      <c r="B17" s="3" t="s">
        <v>16</v>
      </c>
      <c r="C17" s="6">
        <v>0.362191524818194</v>
      </c>
      <c r="D17" s="6">
        <v>0.53177768062612796</v>
      </c>
      <c r="E17" s="6">
        <v>0.57806551088236602</v>
      </c>
      <c r="F17" s="6">
        <v>0.49235315385095202</v>
      </c>
      <c r="G17" s="2"/>
    </row>
    <row r="18" spans="1:7" x14ac:dyDescent="0.3">
      <c r="A18" s="4"/>
      <c r="B18" s="3" t="s">
        <v>21</v>
      </c>
      <c r="C18" s="6">
        <v>0.305468086594191</v>
      </c>
      <c r="D18" s="6">
        <v>0.46798246503462299</v>
      </c>
      <c r="E18" s="6">
        <v>0.47158010680510298</v>
      </c>
      <c r="F18" s="6">
        <v>0.46443929983147703</v>
      </c>
      <c r="G18" s="2"/>
    </row>
    <row r="19" spans="1:7" x14ac:dyDescent="0.3">
      <c r="A19" s="4"/>
      <c r="B19" s="3" t="s">
        <v>26</v>
      </c>
      <c r="C19" s="6">
        <v>0.62163749441418203</v>
      </c>
      <c r="D19" s="6">
        <v>0.766678738689067</v>
      </c>
      <c r="E19" s="6">
        <v>0.70895581763779303</v>
      </c>
      <c r="F19" s="6">
        <v>0.83463436030615401</v>
      </c>
      <c r="G19" s="2"/>
    </row>
    <row r="20" spans="1:7" x14ac:dyDescent="0.3">
      <c r="A20" s="4"/>
      <c r="B20" s="3" t="s">
        <v>31</v>
      </c>
      <c r="C20" s="6">
        <v>0.39795410082275301</v>
      </c>
      <c r="D20" s="6">
        <v>0.56933786393779395</v>
      </c>
      <c r="E20" s="6">
        <v>0.553470158047081</v>
      </c>
      <c r="F20" s="6">
        <v>0.58614226232022704</v>
      </c>
      <c r="G20" s="2"/>
    </row>
    <row r="21" spans="1:7" x14ac:dyDescent="0.3">
      <c r="A21" s="4"/>
      <c r="B21" s="3" t="s">
        <v>36</v>
      </c>
      <c r="C21" s="6">
        <v>0.74578354144299097</v>
      </c>
      <c r="D21" s="6">
        <v>0.85438260097991003</v>
      </c>
      <c r="E21" s="6">
        <v>0.803987847007818</v>
      </c>
      <c r="F21" s="6">
        <v>0.911517414677537</v>
      </c>
      <c r="G21" s="2"/>
    </row>
    <row r="22" spans="1:7" x14ac:dyDescent="0.3">
      <c r="A22" s="4"/>
      <c r="B22" s="3" t="s">
        <v>41</v>
      </c>
      <c r="C22" s="6">
        <v>0.56862375917376295</v>
      </c>
      <c r="D22" s="6">
        <v>0.72499699924636196</v>
      </c>
      <c r="E22" s="6">
        <v>0.77104957880960401</v>
      </c>
      <c r="F22" s="6">
        <v>0.68413554557280698</v>
      </c>
      <c r="G22" s="2"/>
    </row>
    <row r="23" spans="1:7" x14ac:dyDescent="0.3">
      <c r="A23" s="4"/>
      <c r="B23" s="3" t="s">
        <v>46</v>
      </c>
      <c r="C23" s="6">
        <v>0.52737845711995102</v>
      </c>
      <c r="D23" s="6">
        <v>0.69056683975284505</v>
      </c>
      <c r="E23" s="6">
        <v>0.692953002666861</v>
      </c>
      <c r="F23" s="6">
        <v>0.68819705380630702</v>
      </c>
      <c r="G23" s="2"/>
    </row>
    <row r="24" spans="1:7" x14ac:dyDescent="0.3">
      <c r="A24" s="4"/>
      <c r="B24" s="3" t="s">
        <v>51</v>
      </c>
      <c r="C24" s="6">
        <v>0.60125874921646305</v>
      </c>
      <c r="D24" s="6">
        <v>0.75098262477650701</v>
      </c>
      <c r="E24" s="6">
        <v>0.73435308503088403</v>
      </c>
      <c r="F24" s="6">
        <v>0.76838277207419603</v>
      </c>
      <c r="G24" s="2"/>
    </row>
    <row r="25" spans="1:7" x14ac:dyDescent="0.3">
      <c r="A25" s="4"/>
      <c r="B25" s="3" t="s">
        <v>56</v>
      </c>
      <c r="C25" s="6">
        <v>0.80415464417522697</v>
      </c>
      <c r="D25" s="6">
        <v>0.89144757825662801</v>
      </c>
      <c r="E25" s="6">
        <v>0.81105125003510203</v>
      </c>
      <c r="F25" s="6">
        <v>0.989536443402114</v>
      </c>
      <c r="G25" s="2"/>
    </row>
    <row r="26" spans="1:7" x14ac:dyDescent="0.3">
      <c r="A26" s="4"/>
      <c r="B26" s="3" t="s">
        <v>61</v>
      </c>
      <c r="C26" s="6">
        <v>0.13451248083758299</v>
      </c>
      <c r="D26" s="6">
        <v>0.23712825219564901</v>
      </c>
      <c r="E26" s="6">
        <v>0.35137891953110201</v>
      </c>
      <c r="F26" s="6">
        <v>0.178944533158782</v>
      </c>
      <c r="G26" s="2"/>
    </row>
    <row r="27" spans="1:7" x14ac:dyDescent="0.3">
      <c r="A27" s="4"/>
      <c r="B27" s="3" t="s">
        <v>66</v>
      </c>
      <c r="C27" s="6">
        <v>0.57575994762528604</v>
      </c>
      <c r="D27" s="6">
        <v>0.73077114124263998</v>
      </c>
      <c r="E27" s="6">
        <v>0.63027987242098205</v>
      </c>
      <c r="F27" s="6">
        <v>0.86938514445598702</v>
      </c>
      <c r="G27" s="2"/>
    </row>
    <row r="28" spans="1:7" x14ac:dyDescent="0.3">
      <c r="A28" s="4"/>
      <c r="B28" s="3" t="s">
        <v>71</v>
      </c>
      <c r="C28" s="6">
        <v>0.49112218735145702</v>
      </c>
      <c r="D28" s="6">
        <v>0.65872829405589095</v>
      </c>
      <c r="E28" s="6">
        <v>0.64140720895849701</v>
      </c>
      <c r="F28" s="6">
        <v>0.67701084898082098</v>
      </c>
      <c r="G28" s="2"/>
    </row>
    <row r="29" spans="1:7" x14ac:dyDescent="0.3">
      <c r="A29" s="4"/>
      <c r="B29" s="3" t="s">
        <v>76</v>
      </c>
      <c r="C29" s="6">
        <v>0.47939236775147798</v>
      </c>
      <c r="D29" s="6">
        <v>0.64809360680980699</v>
      </c>
      <c r="E29" s="6">
        <v>0.67112210178944198</v>
      </c>
      <c r="F29" s="6">
        <v>0.62659305571869595</v>
      </c>
      <c r="G29" s="2"/>
    </row>
    <row r="30" spans="1:7" x14ac:dyDescent="0.3">
      <c r="A30" s="4"/>
      <c r="B30" s="3" t="s">
        <v>81</v>
      </c>
      <c r="C30" s="6">
        <v>0.30184474346530799</v>
      </c>
      <c r="D30" s="6">
        <v>0.46371849635747597</v>
      </c>
      <c r="E30" s="6">
        <v>0.45995173908024101</v>
      </c>
      <c r="F30" s="6">
        <v>0.46754745848985801</v>
      </c>
      <c r="G30" s="2"/>
    </row>
    <row r="31" spans="1:7" x14ac:dyDescent="0.3">
      <c r="A31" s="4"/>
      <c r="B31" s="3" t="s">
        <v>86</v>
      </c>
      <c r="C31" s="6">
        <v>0.494077291772059</v>
      </c>
      <c r="D31" s="6">
        <v>0.64189951299723702</v>
      </c>
      <c r="E31" s="6">
        <v>0.63425758562163403</v>
      </c>
      <c r="F31" s="6">
        <v>0.65991566761756504</v>
      </c>
      <c r="G31" s="2"/>
    </row>
    <row r="32" spans="1:7" x14ac:dyDescent="0.3">
      <c r="A32" s="4" t="s">
        <v>179</v>
      </c>
      <c r="B32" s="3" t="s">
        <v>16</v>
      </c>
      <c r="C32" s="6">
        <v>0.36945233038494302</v>
      </c>
      <c r="D32" s="6">
        <v>0.53956216246109501</v>
      </c>
      <c r="E32" s="6">
        <v>0.58332883739475505</v>
      </c>
      <c r="F32" s="6">
        <v>0.50190467439636599</v>
      </c>
      <c r="G32" s="2"/>
    </row>
    <row r="33" spans="1:7" x14ac:dyDescent="0.3">
      <c r="A33" s="4"/>
      <c r="B33" s="3" t="s">
        <v>21</v>
      </c>
      <c r="C33" s="6">
        <v>0.41263959909724102</v>
      </c>
      <c r="D33" s="6">
        <v>0.58421072064090795</v>
      </c>
      <c r="E33" s="6">
        <v>0.58173745838649504</v>
      </c>
      <c r="F33" s="6">
        <v>0.58670510288243205</v>
      </c>
      <c r="G33" s="2"/>
    </row>
    <row r="34" spans="1:7" x14ac:dyDescent="0.3">
      <c r="A34" s="4"/>
      <c r="B34" s="3" t="s">
        <v>26</v>
      </c>
      <c r="C34" s="6">
        <v>0.60407341520808899</v>
      </c>
      <c r="D34" s="6">
        <v>0.75317427429557604</v>
      </c>
      <c r="E34" s="6">
        <v>0.69393849897559601</v>
      </c>
      <c r="F34" s="6">
        <v>0.82346680720293997</v>
      </c>
      <c r="G34" s="2"/>
    </row>
    <row r="35" spans="1:7" x14ac:dyDescent="0.3">
      <c r="A35" s="4"/>
      <c r="B35" s="3" t="s">
        <v>31</v>
      </c>
      <c r="C35" s="6">
        <v>0.39101377937631698</v>
      </c>
      <c r="D35" s="6">
        <v>0.56219972105759397</v>
      </c>
      <c r="E35" s="6">
        <v>0.60676431554863597</v>
      </c>
      <c r="F35" s="6">
        <v>0.52373343742466505</v>
      </c>
      <c r="G35" s="2"/>
    </row>
    <row r="36" spans="1:7" x14ac:dyDescent="0.3">
      <c r="A36" s="4"/>
      <c r="B36" s="3" t="s">
        <v>36</v>
      </c>
      <c r="C36" s="6">
        <v>0.79108313280514897</v>
      </c>
      <c r="D36" s="6">
        <v>0.88335724714929897</v>
      </c>
      <c r="E36" s="6">
        <v>0.82561253355201503</v>
      </c>
      <c r="F36" s="6">
        <v>0.94978692412641696</v>
      </c>
      <c r="G36" s="2"/>
    </row>
    <row r="37" spans="1:7" x14ac:dyDescent="0.3">
      <c r="A37" s="4"/>
      <c r="B37" s="3" t="s">
        <v>41</v>
      </c>
      <c r="C37" s="6">
        <v>0.49878937317280603</v>
      </c>
      <c r="D37" s="6">
        <v>0.66558968471588897</v>
      </c>
      <c r="E37" s="6">
        <v>0.71704993541002504</v>
      </c>
      <c r="F37" s="6">
        <v>0.62102109908847802</v>
      </c>
      <c r="G37" s="2"/>
    </row>
    <row r="38" spans="1:7" x14ac:dyDescent="0.3">
      <c r="A38" s="4"/>
      <c r="B38" s="3" t="s">
        <v>46</v>
      </c>
      <c r="C38" s="6">
        <v>0.58011168863526796</v>
      </c>
      <c r="D38" s="6">
        <v>0.73426668862415201</v>
      </c>
      <c r="E38" s="6">
        <v>0.79692390627595899</v>
      </c>
      <c r="F38" s="6">
        <v>0.68074398268876002</v>
      </c>
      <c r="G38" s="2"/>
    </row>
    <row r="39" spans="1:7" x14ac:dyDescent="0.3">
      <c r="A39" s="4"/>
      <c r="B39" s="3" t="s">
        <v>51</v>
      </c>
      <c r="C39" s="6">
        <v>0.64594001498533105</v>
      </c>
      <c r="D39" s="6">
        <v>0.78488888915078403</v>
      </c>
      <c r="E39" s="6">
        <v>0.72174457903225797</v>
      </c>
      <c r="F39" s="6">
        <v>0.86014131427787199</v>
      </c>
      <c r="G39" s="2"/>
    </row>
    <row r="40" spans="1:7" x14ac:dyDescent="0.3">
      <c r="A40" s="4"/>
      <c r="B40" s="3" t="s">
        <v>56</v>
      </c>
      <c r="C40" s="6">
        <v>0.75102696645043399</v>
      </c>
      <c r="D40" s="6">
        <v>0.85781313576553997</v>
      </c>
      <c r="E40" s="6">
        <v>0.76640146623886796</v>
      </c>
      <c r="F40" s="6">
        <v>0.97398397459010699</v>
      </c>
      <c r="G40" s="2"/>
    </row>
    <row r="41" spans="1:7" x14ac:dyDescent="0.3">
      <c r="A41" s="4"/>
      <c r="B41" s="3" t="s">
        <v>61</v>
      </c>
      <c r="C41" s="6">
        <v>0.15356190634887701</v>
      </c>
      <c r="D41" s="6">
        <v>0.26623955854248699</v>
      </c>
      <c r="E41" s="6">
        <v>0.34217048650724302</v>
      </c>
      <c r="F41" s="6">
        <v>0.217888091550582</v>
      </c>
      <c r="G41" s="2"/>
    </row>
    <row r="42" spans="1:7" x14ac:dyDescent="0.3">
      <c r="A42" s="4"/>
      <c r="B42" s="3" t="s">
        <v>66</v>
      </c>
      <c r="C42" s="6">
        <v>0.59565915197838104</v>
      </c>
      <c r="D42" s="6">
        <v>0.74659948678870702</v>
      </c>
      <c r="E42" s="6">
        <v>0.70405163715291597</v>
      </c>
      <c r="F42" s="6">
        <v>0.794620682285197</v>
      </c>
      <c r="G42" s="2"/>
    </row>
    <row r="43" spans="1:7" x14ac:dyDescent="0.3">
      <c r="A43" s="4"/>
      <c r="B43" s="3" t="s">
        <v>71</v>
      </c>
      <c r="C43" s="6">
        <v>0.51716625236911296</v>
      </c>
      <c r="D43" s="6">
        <v>0.68175290817540701</v>
      </c>
      <c r="E43" s="6">
        <v>0.82851294186704205</v>
      </c>
      <c r="F43" s="6">
        <v>0.57916206204239695</v>
      </c>
      <c r="G43" s="2"/>
    </row>
    <row r="44" spans="1:7" x14ac:dyDescent="0.3">
      <c r="A44" s="4"/>
      <c r="B44" s="3" t="s">
        <v>76</v>
      </c>
      <c r="C44" s="6">
        <v>0.54434607471601104</v>
      </c>
      <c r="D44" s="6">
        <v>0.70495348630469501</v>
      </c>
      <c r="E44" s="6">
        <v>0.67008619753750498</v>
      </c>
      <c r="F44" s="6">
        <v>0.74364851952088196</v>
      </c>
      <c r="G44" s="2"/>
    </row>
    <row r="45" spans="1:7" x14ac:dyDescent="0.3">
      <c r="A45" s="4"/>
      <c r="B45" s="3" t="s">
        <v>81</v>
      </c>
      <c r="C45" s="6">
        <v>2.8010894544210501E-2</v>
      </c>
      <c r="D45" s="6">
        <v>5.4495326251634203E-2</v>
      </c>
      <c r="E45" s="6">
        <v>0.64808979913032605</v>
      </c>
      <c r="F45" s="6">
        <v>2.84435148613198E-2</v>
      </c>
      <c r="G45" s="2"/>
    </row>
    <row r="46" spans="1:7" x14ac:dyDescent="0.3">
      <c r="A46" s="4"/>
      <c r="B46" s="3" t="s">
        <v>86</v>
      </c>
      <c r="C46" s="6">
        <v>0.49163389857658402</v>
      </c>
      <c r="D46" s="6">
        <v>0.62993594928026897</v>
      </c>
      <c r="E46" s="6">
        <v>0.67760089950068902</v>
      </c>
      <c r="F46" s="6">
        <v>0.63466072763845804</v>
      </c>
      <c r="G46" s="2"/>
    </row>
    <row r="47" spans="1:7" x14ac:dyDescent="0.3">
      <c r="A47" s="4" t="s">
        <v>295</v>
      </c>
      <c r="B47" s="3" t="s">
        <v>16</v>
      </c>
      <c r="C47" s="6">
        <v>0.34256749633908401</v>
      </c>
      <c r="D47" s="6">
        <v>0.51031698186228602</v>
      </c>
      <c r="E47" s="6">
        <v>0.518793846507694</v>
      </c>
      <c r="F47" s="6">
        <v>0.50211268018194299</v>
      </c>
    </row>
    <row r="48" spans="1:7" x14ac:dyDescent="0.3">
      <c r="A48" s="4"/>
      <c r="B48" s="3" t="s">
        <v>21</v>
      </c>
      <c r="C48" s="6">
        <v>0.38120064752059302</v>
      </c>
      <c r="D48" s="6">
        <v>0.551984461062758</v>
      </c>
      <c r="E48" s="6">
        <v>0.58468756733620098</v>
      </c>
      <c r="F48" s="6">
        <v>0.52274591363559098</v>
      </c>
    </row>
    <row r="49" spans="1:6" x14ac:dyDescent="0.3">
      <c r="A49" s="4"/>
      <c r="B49" s="3" t="s">
        <v>26</v>
      </c>
      <c r="C49" s="6">
        <v>0.64096333366603198</v>
      </c>
      <c r="D49" s="6">
        <v>0.78120372407599503</v>
      </c>
      <c r="E49" s="6">
        <v>0.74514303806055604</v>
      </c>
      <c r="F49" s="6">
        <v>0.82093217328466905</v>
      </c>
    </row>
    <row r="50" spans="1:6" x14ac:dyDescent="0.3">
      <c r="A50" s="4"/>
      <c r="B50" s="3" t="s">
        <v>31</v>
      </c>
      <c r="C50" s="6">
        <v>0.35744492886734203</v>
      </c>
      <c r="D50" s="6">
        <v>0.526643727883084</v>
      </c>
      <c r="E50" s="6">
        <v>0.58727205537472305</v>
      </c>
      <c r="F50" s="6">
        <v>0.47736218823611198</v>
      </c>
    </row>
    <row r="51" spans="1:6" x14ac:dyDescent="0.3">
      <c r="A51" s="4"/>
      <c r="B51" s="3" t="s">
        <v>36</v>
      </c>
      <c r="C51" s="6">
        <v>0.73036661655678903</v>
      </c>
      <c r="D51" s="6">
        <v>0.84417557478093996</v>
      </c>
      <c r="E51" s="6">
        <v>0.82548553298020599</v>
      </c>
      <c r="F51" s="6">
        <v>0.86373155514065403</v>
      </c>
    </row>
    <row r="52" spans="1:6" x14ac:dyDescent="0.3">
      <c r="A52" s="4"/>
      <c r="B52" s="3" t="s">
        <v>41</v>
      </c>
      <c r="C52" s="6">
        <v>0.58046584160867498</v>
      </c>
      <c r="D52" s="6">
        <v>0.73455031589654396</v>
      </c>
      <c r="E52" s="6">
        <v>0.73343925763717799</v>
      </c>
      <c r="F52" s="6">
        <v>0.73566474545979299</v>
      </c>
    </row>
    <row r="53" spans="1:6" x14ac:dyDescent="0.3">
      <c r="A53" s="4"/>
      <c r="B53" s="3" t="s">
        <v>46</v>
      </c>
      <c r="C53" s="6">
        <v>0.54060936226362899</v>
      </c>
      <c r="D53" s="6">
        <v>0.70181238087415898</v>
      </c>
      <c r="E53" s="6">
        <v>0.70639451239581197</v>
      </c>
      <c r="F53" s="6">
        <v>0.69728931157194496</v>
      </c>
    </row>
    <row r="54" spans="1:6" x14ac:dyDescent="0.3">
      <c r="A54" s="4"/>
      <c r="B54" s="3" t="s">
        <v>51</v>
      </c>
      <c r="C54" s="6">
        <v>0.53895431549331596</v>
      </c>
      <c r="D54" s="6">
        <v>0.70041626326061901</v>
      </c>
      <c r="E54" s="6">
        <v>0.58991251530559696</v>
      </c>
      <c r="F54" s="6">
        <v>0.86186225150709905</v>
      </c>
    </row>
    <row r="55" spans="1:6" x14ac:dyDescent="0.3">
      <c r="A55" s="4"/>
      <c r="B55" s="3" t="s">
        <v>56</v>
      </c>
      <c r="C55" s="6">
        <v>0.78202710114089902</v>
      </c>
      <c r="D55" s="6">
        <v>0.87768261284042803</v>
      </c>
      <c r="E55" s="6">
        <v>0.80595276252695902</v>
      </c>
      <c r="F55" s="6">
        <v>0.96342774745061999</v>
      </c>
    </row>
    <row r="56" spans="1:6" x14ac:dyDescent="0.3">
      <c r="A56" s="4"/>
      <c r="B56" s="3" t="s">
        <v>61</v>
      </c>
      <c r="C56" s="6">
        <v>0.141580695039356</v>
      </c>
      <c r="D56" s="6">
        <v>0.24804325380515499</v>
      </c>
      <c r="E56" s="6">
        <v>0.237551124563013</v>
      </c>
      <c r="F56" s="6">
        <v>0.25950504096246002</v>
      </c>
    </row>
    <row r="57" spans="1:6" x14ac:dyDescent="0.3">
      <c r="A57" s="4"/>
      <c r="B57" s="3" t="s">
        <v>66</v>
      </c>
      <c r="C57" s="6">
        <v>0.61567067491082195</v>
      </c>
      <c r="D57" s="6">
        <v>0.762123970523639</v>
      </c>
      <c r="E57" s="6">
        <v>0.70094494047084999</v>
      </c>
      <c r="F57" s="6">
        <v>0.83500376067397297</v>
      </c>
    </row>
    <row r="58" spans="1:6" x14ac:dyDescent="0.3">
      <c r="A58" s="4"/>
      <c r="B58" s="3" t="s">
        <v>71</v>
      </c>
      <c r="C58" s="6">
        <v>0.34550919126602497</v>
      </c>
      <c r="D58" s="6">
        <v>0.51357388490364198</v>
      </c>
      <c r="E58" s="6">
        <v>0.66645865130858095</v>
      </c>
      <c r="F58" s="6">
        <v>0.41774395361024702</v>
      </c>
    </row>
    <row r="59" spans="1:6" x14ac:dyDescent="0.3">
      <c r="A59" s="4"/>
      <c r="B59" s="3" t="s">
        <v>76</v>
      </c>
      <c r="C59" s="6">
        <v>0.51342913480778896</v>
      </c>
      <c r="D59" s="6">
        <v>0.67849775453542605</v>
      </c>
      <c r="E59" s="6">
        <v>0.665759412399335</v>
      </c>
      <c r="F59" s="6">
        <v>0.69173306489432895</v>
      </c>
    </row>
    <row r="60" spans="1:6" x14ac:dyDescent="0.3">
      <c r="A60" s="4"/>
      <c r="B60" s="3" t="s">
        <v>81</v>
      </c>
      <c r="C60" s="6">
        <v>0.20385106298103101</v>
      </c>
      <c r="D60" s="6">
        <v>0.33866492168266399</v>
      </c>
      <c r="E60" s="6">
        <v>0.318503688585002</v>
      </c>
      <c r="F60" s="6">
        <v>0.361551045673288</v>
      </c>
    </row>
    <row r="61" spans="1:6" x14ac:dyDescent="0.3">
      <c r="A61" s="4"/>
      <c r="B61" s="3" t="s">
        <v>86</v>
      </c>
      <c r="C61" s="6">
        <v>0.479617171604384</v>
      </c>
      <c r="D61" s="6">
        <v>0.62640641628480997</v>
      </c>
      <c r="E61" s="6">
        <v>0.62044992181797898</v>
      </c>
      <c r="F61" s="6">
        <v>0.64361895944876601</v>
      </c>
    </row>
    <row r="62" spans="1:6" x14ac:dyDescent="0.3">
      <c r="A62" s="4" t="s">
        <v>296</v>
      </c>
      <c r="B62" s="3" t="s">
        <v>16</v>
      </c>
      <c r="C62" s="6">
        <v>0.38076881240172</v>
      </c>
      <c r="D62" s="6">
        <v>0.55153159454609602</v>
      </c>
      <c r="E62" s="6">
        <v>0.571860322646494</v>
      </c>
      <c r="F62" s="6">
        <v>0.53259855988397697</v>
      </c>
    </row>
    <row r="63" spans="1:6" x14ac:dyDescent="0.3">
      <c r="A63" s="4"/>
      <c r="B63" s="3" t="s">
        <v>21</v>
      </c>
      <c r="C63" s="6">
        <v>0.28826615048698101</v>
      </c>
      <c r="D63" s="6">
        <v>0.44752577000957799</v>
      </c>
      <c r="E63" s="6">
        <v>0.53763300666798597</v>
      </c>
      <c r="F63" s="6">
        <v>0.38328692138119302</v>
      </c>
    </row>
    <row r="64" spans="1:6" x14ac:dyDescent="0.3">
      <c r="A64" s="4"/>
      <c r="B64" s="3" t="s">
        <v>26</v>
      </c>
      <c r="C64" s="6">
        <v>0.61639626390128099</v>
      </c>
      <c r="D64" s="6">
        <v>0.76267964442526903</v>
      </c>
      <c r="E64" s="6">
        <v>0.697786299468383</v>
      </c>
      <c r="F64" s="6">
        <v>0.840880599111959</v>
      </c>
    </row>
    <row r="65" spans="1:6" x14ac:dyDescent="0.3">
      <c r="A65" s="4"/>
      <c r="B65" s="3" t="s">
        <v>31</v>
      </c>
      <c r="C65" s="6">
        <v>0.44477084330292799</v>
      </c>
      <c r="D65" s="6">
        <v>0.61569742407886097</v>
      </c>
      <c r="E65" s="6">
        <v>0.60736252568486104</v>
      </c>
      <c r="F65" s="6">
        <v>0.62426426680421199</v>
      </c>
    </row>
    <row r="66" spans="1:6" x14ac:dyDescent="0.3">
      <c r="A66" s="4"/>
      <c r="B66" s="3" t="s">
        <v>36</v>
      </c>
      <c r="C66" s="6">
        <v>0.73987648082972901</v>
      </c>
      <c r="D66" s="6">
        <v>0.85049311141546002</v>
      </c>
      <c r="E66" s="6">
        <v>0.79204936302685502</v>
      </c>
      <c r="F66" s="6">
        <v>0.91824887066535898</v>
      </c>
    </row>
    <row r="67" spans="1:6" x14ac:dyDescent="0.3">
      <c r="A67" s="4"/>
      <c r="B67" s="3" t="s">
        <v>41</v>
      </c>
      <c r="C67" s="6">
        <v>0.57354836174909296</v>
      </c>
      <c r="D67" s="6">
        <v>0.728987269398647</v>
      </c>
      <c r="E67" s="6">
        <v>0.768346666419776</v>
      </c>
      <c r="F67" s="6">
        <v>0.69346382756959102</v>
      </c>
    </row>
    <row r="68" spans="1:6" x14ac:dyDescent="0.3">
      <c r="A68" s="4"/>
      <c r="B68" s="3" t="s">
        <v>46</v>
      </c>
      <c r="C68" s="6">
        <v>0.52005702057784897</v>
      </c>
      <c r="D68" s="6">
        <v>0.68425988438269203</v>
      </c>
      <c r="E68" s="6">
        <v>0.67801940566847796</v>
      </c>
      <c r="F68" s="6">
        <v>0.69061630473489899</v>
      </c>
    </row>
    <row r="69" spans="1:6" x14ac:dyDescent="0.3">
      <c r="A69" s="4"/>
      <c r="B69" s="3" t="s">
        <v>51</v>
      </c>
      <c r="C69" s="6">
        <v>0.60390185995395795</v>
      </c>
      <c r="D69" s="6">
        <v>0.75304091233025106</v>
      </c>
      <c r="E69" s="6">
        <v>0.71302868719437595</v>
      </c>
      <c r="F69" s="6">
        <v>0.79781075708042903</v>
      </c>
    </row>
    <row r="70" spans="1:6" x14ac:dyDescent="0.3">
      <c r="A70" s="4"/>
      <c r="B70" s="3" t="s">
        <v>56</v>
      </c>
      <c r="C70" s="6">
        <v>0.80692212975389999</v>
      </c>
      <c r="D70" s="6">
        <v>0.89314543938183</v>
      </c>
      <c r="E70" s="6">
        <v>0.814192497551676</v>
      </c>
      <c r="F70" s="6">
        <v>0.98905494176440201</v>
      </c>
    </row>
    <row r="71" spans="1:6" x14ac:dyDescent="0.3">
      <c r="A71" s="4"/>
      <c r="B71" s="3" t="s">
        <v>61</v>
      </c>
      <c r="C71" s="6">
        <v>0.125209470557927</v>
      </c>
      <c r="D71" s="6">
        <v>0.22255317580262299</v>
      </c>
      <c r="E71" s="6">
        <v>0.26171546484687502</v>
      </c>
      <c r="F71" s="6">
        <v>0.19358562441067201</v>
      </c>
    </row>
    <row r="72" spans="1:6" x14ac:dyDescent="0.3">
      <c r="A72" s="4"/>
      <c r="B72" s="3" t="s">
        <v>66</v>
      </c>
      <c r="C72" s="6">
        <v>0.64623705654484698</v>
      </c>
      <c r="D72" s="6">
        <v>0.78510813977323701</v>
      </c>
      <c r="E72" s="6">
        <v>0.72096065570835099</v>
      </c>
      <c r="F72" s="6">
        <v>0.86178551784603696</v>
      </c>
    </row>
    <row r="73" spans="1:6" x14ac:dyDescent="0.3">
      <c r="A73" s="4"/>
      <c r="B73" s="3" t="s">
        <v>71</v>
      </c>
      <c r="C73" s="6">
        <v>0.49910559361749302</v>
      </c>
      <c r="D73" s="6">
        <v>0.66587116443625705</v>
      </c>
      <c r="E73" s="6">
        <v>0.64868126004787796</v>
      </c>
      <c r="F73" s="6">
        <v>0.68399692585647098</v>
      </c>
    </row>
    <row r="74" spans="1:6" x14ac:dyDescent="0.3">
      <c r="A74" s="4"/>
      <c r="B74" s="3" t="s">
        <v>76</v>
      </c>
      <c r="C74" s="6">
        <v>0.45535743056222899</v>
      </c>
      <c r="D74" s="6">
        <v>0.62576714283351997</v>
      </c>
      <c r="E74" s="6">
        <v>0.62332153336478902</v>
      </c>
      <c r="F74" s="6">
        <v>0.62823201864981204</v>
      </c>
    </row>
    <row r="75" spans="1:6" x14ac:dyDescent="0.3">
      <c r="A75" s="4"/>
      <c r="B75" s="3" t="s">
        <v>81</v>
      </c>
      <c r="C75" s="6">
        <v>0.340388215476783</v>
      </c>
      <c r="D75" s="6">
        <v>0.50789496885527996</v>
      </c>
      <c r="E75" s="6">
        <v>0.52257464405827403</v>
      </c>
      <c r="F75" s="6">
        <v>0.49401749423515201</v>
      </c>
    </row>
    <row r="76" spans="1:6" x14ac:dyDescent="0.3">
      <c r="A76" s="4"/>
      <c r="B76" s="3" t="s">
        <v>86</v>
      </c>
      <c r="C76" s="6">
        <v>0.50291469212262296</v>
      </c>
      <c r="D76" s="6">
        <v>0.64961111726211496</v>
      </c>
      <c r="E76" s="6">
        <v>0.63982373802536097</v>
      </c>
      <c r="F76" s="6">
        <v>0.66656018785672599</v>
      </c>
    </row>
    <row r="77" spans="1:6" x14ac:dyDescent="0.3">
      <c r="A77" s="4" t="s">
        <v>297</v>
      </c>
      <c r="B77" s="3" t="s">
        <v>16</v>
      </c>
      <c r="C77" s="6">
        <v>0.36842938203614201</v>
      </c>
      <c r="D77" s="6">
        <v>0.53847043460575394</v>
      </c>
      <c r="E77" s="6">
        <v>0.52011888808864704</v>
      </c>
      <c r="F77" s="6">
        <v>0.55816435330080205</v>
      </c>
    </row>
    <row r="78" spans="1:6" x14ac:dyDescent="0.3">
      <c r="A78" s="4"/>
      <c r="B78" s="3" t="s">
        <v>21</v>
      </c>
      <c r="C78" s="6">
        <v>0.41650001275612503</v>
      </c>
      <c r="D78" s="6">
        <v>0.58806919732493101</v>
      </c>
      <c r="E78" s="6">
        <v>0.60624282057788004</v>
      </c>
      <c r="F78" s="6">
        <v>0.57095345967189703</v>
      </c>
    </row>
    <row r="79" spans="1:6" x14ac:dyDescent="0.3">
      <c r="A79" s="4"/>
      <c r="B79" s="3" t="s">
        <v>26</v>
      </c>
      <c r="C79" s="6">
        <v>0.62758944620254897</v>
      </c>
      <c r="D79" s="6">
        <v>0.77118888632120997</v>
      </c>
      <c r="E79" s="6">
        <v>0.74907296391012101</v>
      </c>
      <c r="F79" s="6">
        <v>0.79465045640105803</v>
      </c>
    </row>
    <row r="80" spans="1:6" x14ac:dyDescent="0.3">
      <c r="A80" s="4"/>
      <c r="B80" s="3" t="s">
        <v>31</v>
      </c>
      <c r="C80" s="6">
        <v>0.39710154039075701</v>
      </c>
      <c r="D80" s="6">
        <v>0.56846482365153095</v>
      </c>
      <c r="E80" s="6">
        <v>0.573922423518333</v>
      </c>
      <c r="F80" s="6">
        <v>0.56311004195277903</v>
      </c>
    </row>
    <row r="81" spans="1:6" x14ac:dyDescent="0.3">
      <c r="A81" s="4"/>
      <c r="B81" s="3" t="s">
        <v>36</v>
      </c>
      <c r="C81" s="6">
        <v>0.79916472198490796</v>
      </c>
      <c r="D81" s="6">
        <v>0.88837304580231902</v>
      </c>
      <c r="E81" s="6">
        <v>0.830815602833337</v>
      </c>
      <c r="F81" s="6">
        <v>0.95449906111383298</v>
      </c>
    </row>
    <row r="82" spans="1:6" x14ac:dyDescent="0.3">
      <c r="A82" s="4"/>
      <c r="B82" s="3" t="s">
        <v>41</v>
      </c>
      <c r="C82" s="6">
        <v>0.48091135571277299</v>
      </c>
      <c r="D82" s="6">
        <v>0.64948027288413501</v>
      </c>
      <c r="E82" s="6">
        <v>0.68780658773166903</v>
      </c>
      <c r="F82" s="6">
        <v>0.61519979153228899</v>
      </c>
    </row>
    <row r="83" spans="1:6" x14ac:dyDescent="0.3">
      <c r="A83" s="4"/>
      <c r="B83" s="3" t="s">
        <v>46</v>
      </c>
      <c r="C83" s="6">
        <v>0.58233840877416798</v>
      </c>
      <c r="D83" s="6">
        <v>0.73604787135933003</v>
      </c>
      <c r="E83" s="6">
        <v>0.77185433857515995</v>
      </c>
      <c r="F83" s="6">
        <v>0.70341625944236696</v>
      </c>
    </row>
    <row r="84" spans="1:6" x14ac:dyDescent="0.3">
      <c r="A84" s="4"/>
      <c r="B84" s="3" t="s">
        <v>51</v>
      </c>
      <c r="C84" s="6">
        <v>0.643288723463459</v>
      </c>
      <c r="D84" s="6">
        <v>0.78292842186324796</v>
      </c>
      <c r="E84" s="6">
        <v>0.71087527006782103</v>
      </c>
      <c r="F84" s="6">
        <v>0.87123541501810997</v>
      </c>
    </row>
    <row r="85" spans="1:6" x14ac:dyDescent="0.3">
      <c r="A85" s="4"/>
      <c r="B85" s="3" t="s">
        <v>56</v>
      </c>
      <c r="C85" s="6">
        <v>0.76870074469013905</v>
      </c>
      <c r="D85" s="6">
        <v>0.86922646128563597</v>
      </c>
      <c r="E85" s="6">
        <v>0.78072644700141203</v>
      </c>
      <c r="F85" s="6">
        <v>0.98035563897086497</v>
      </c>
    </row>
    <row r="86" spans="1:6" x14ac:dyDescent="0.3">
      <c r="A86" s="4"/>
      <c r="B86" s="3" t="s">
        <v>61</v>
      </c>
      <c r="C86" s="6">
        <v>0.112840451297495</v>
      </c>
      <c r="D86" s="6">
        <v>0.20279717755753901</v>
      </c>
      <c r="E86" s="6">
        <v>0.26039243310353899</v>
      </c>
      <c r="F86" s="6">
        <v>0.16606570749632499</v>
      </c>
    </row>
    <row r="87" spans="1:6" x14ac:dyDescent="0.3">
      <c r="A87" s="4"/>
      <c r="B87" s="3" t="s">
        <v>66</v>
      </c>
      <c r="C87" s="6">
        <v>0.58171557760027304</v>
      </c>
      <c r="D87" s="6">
        <v>0.73555016570404297</v>
      </c>
      <c r="E87" s="6">
        <v>0.67735270113260004</v>
      </c>
      <c r="F87" s="6">
        <v>0.80468816564541501</v>
      </c>
    </row>
    <row r="88" spans="1:6" x14ac:dyDescent="0.3">
      <c r="A88" s="4"/>
      <c r="B88" s="3" t="s">
        <v>71</v>
      </c>
      <c r="C88" s="6">
        <v>0.52765700771868296</v>
      </c>
      <c r="D88" s="6">
        <v>0.69080559975521705</v>
      </c>
      <c r="E88" s="6">
        <v>0.77719124425948405</v>
      </c>
      <c r="F88" s="6">
        <v>0.62170267708730298</v>
      </c>
    </row>
    <row r="89" spans="1:6" x14ac:dyDescent="0.3">
      <c r="A89" s="4"/>
      <c r="B89" s="3" t="s">
        <v>76</v>
      </c>
      <c r="C89" s="6">
        <v>0.54352816787811498</v>
      </c>
      <c r="D89" s="6">
        <v>0.70426724848863897</v>
      </c>
      <c r="E89" s="6">
        <v>0.72165937758519005</v>
      </c>
      <c r="F89" s="6">
        <v>0.68769369875164099</v>
      </c>
    </row>
    <row r="90" spans="1:6" x14ac:dyDescent="0.3">
      <c r="A90" s="4"/>
      <c r="B90" s="3" t="s">
        <v>81</v>
      </c>
      <c r="C90" s="6">
        <v>0</v>
      </c>
      <c r="D90" s="6">
        <v>0</v>
      </c>
      <c r="E90" s="6">
        <v>0</v>
      </c>
      <c r="F90" s="6">
        <v>0</v>
      </c>
    </row>
    <row r="91" spans="1:6" x14ac:dyDescent="0.3">
      <c r="A91" s="4"/>
      <c r="B91" s="3" t="s">
        <v>86</v>
      </c>
      <c r="C91" s="6">
        <v>0.48926896717897</v>
      </c>
      <c r="D91" s="6">
        <v>0.62326211475739501</v>
      </c>
      <c r="E91" s="6">
        <v>0.61914507845608502</v>
      </c>
      <c r="F91" s="6">
        <v>0.63512390902747795</v>
      </c>
    </row>
  </sheetData>
  <mergeCells count="7">
    <mergeCell ref="A62:A76"/>
    <mergeCell ref="A77:A91"/>
    <mergeCell ref="A2:A16"/>
    <mergeCell ref="A17:A31"/>
    <mergeCell ref="A32:A46"/>
    <mergeCell ref="I1:L1"/>
    <mergeCell ref="A47:A6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D65EB0-6B7A-43BC-972E-440ABA9D1C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Николай Мелехин</cp:lastModifiedBy>
  <dcterms:created xsi:type="dcterms:W3CDTF">2015-06-05T18:19:34Z</dcterms:created>
  <dcterms:modified xsi:type="dcterms:W3CDTF">2026-08-09T11:58:40Z</dcterms:modified>
</cp:coreProperties>
</file>