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cer\Desktop\github\segmentation_biomarcers_pp\"/>
    </mc:Choice>
  </mc:AlternateContent>
  <xr:revisionPtr revIDLastSave="0" documentId="13_ncr:1_{94DD8A82-D0B6-442D-BF95-3E4E5EECB54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Лист1" sheetId="1" r:id="rId1"/>
    <sheet name="Лист1 (2)" sheetId="2" r:id="rId2"/>
    <sheet name="dice + recall" sheetId="3" r:id="rId3"/>
    <sheet name="Лист2" sheetId="4" r:id="rId4"/>
  </sheets>
  <definedNames>
    <definedName name="FromArray_1" localSheetId="1">_xlfn.ANCHORARRAY('Лист1 (2)'!$A$32)</definedName>
    <definedName name="FromArray_1">_xlfn.ANCHORARRAY(Лист1!$B$32)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K13" i="2" s="1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M24" i="3"/>
  <c r="L24" i="3"/>
  <c r="K24" i="3"/>
  <c r="J24" i="3"/>
  <c r="I24" i="3"/>
  <c r="H24" i="3"/>
  <c r="G24" i="3"/>
  <c r="F24" i="3"/>
  <c r="E24" i="3"/>
  <c r="M3" i="3"/>
  <c r="M17" i="3" s="1"/>
  <c r="L3" i="3"/>
  <c r="K3" i="3"/>
  <c r="J3" i="3"/>
  <c r="I3" i="3"/>
  <c r="H3" i="3"/>
  <c r="G3" i="3"/>
  <c r="F3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24" i="3"/>
  <c r="C24" i="3"/>
  <c r="E3" i="3"/>
  <c r="D3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B24" i="3"/>
  <c r="C3" i="3"/>
  <c r="B37" i="3"/>
  <c r="J18" i="2"/>
  <c r="K18" i="2" s="1"/>
  <c r="L18" i="2" s="1"/>
  <c r="J17" i="2"/>
  <c r="K17" i="2" s="1"/>
  <c r="J16" i="2"/>
  <c r="K16" i="2" s="1"/>
  <c r="I18" i="2"/>
  <c r="I17" i="2"/>
  <c r="J15" i="2"/>
  <c r="K15" i="2" s="1"/>
  <c r="J14" i="2"/>
  <c r="K14" i="2" s="1"/>
  <c r="J4" i="2"/>
  <c r="K4" i="2" s="1"/>
  <c r="I16" i="2"/>
  <c r="I15" i="2"/>
  <c r="I14" i="2"/>
  <c r="I8" i="2"/>
  <c r="I7" i="2"/>
  <c r="I6" i="2"/>
  <c r="I5" i="2"/>
  <c r="I4" i="2"/>
  <c r="J3" i="2"/>
  <c r="K3" i="2" s="1"/>
  <c r="I13" i="2"/>
  <c r="I3" i="2"/>
  <c r="M5" i="2"/>
  <c r="M7" i="2"/>
  <c r="L5" i="2"/>
  <c r="L7" i="2"/>
  <c r="J8" i="2"/>
  <c r="K8" i="2" s="1"/>
  <c r="J7" i="2"/>
  <c r="K7" i="2" s="1"/>
  <c r="J6" i="2"/>
  <c r="K6" i="2" s="1"/>
  <c r="J5" i="2"/>
  <c r="K5" i="2" s="1"/>
  <c r="W8" i="2"/>
  <c r="X8" i="2"/>
  <c r="Y8" i="2"/>
  <c r="V8" i="2"/>
  <c r="V7" i="2"/>
  <c r="V12" i="2"/>
  <c r="V3" i="2"/>
  <c r="B25" i="3"/>
  <c r="B26" i="3"/>
  <c r="B27" i="3"/>
  <c r="B28" i="3"/>
  <c r="B29" i="3"/>
  <c r="B30" i="3"/>
  <c r="B31" i="3"/>
  <c r="B32" i="3"/>
  <c r="B33" i="3"/>
  <c r="B34" i="3"/>
  <c r="B35" i="3"/>
  <c r="B36" i="3"/>
  <c r="B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57" i="1" a="1"/>
  <c r="B258" i="1" a="1"/>
  <c r="B259" i="1" a="1"/>
  <c r="B260" i="1" a="1"/>
  <c r="B261" i="1" a="1"/>
  <c r="B262" i="1" a="1"/>
  <c r="B263" i="1" a="1"/>
  <c r="B264" i="1" a="1"/>
  <c r="B265" i="1" a="1"/>
  <c r="B266" i="1" a="1"/>
  <c r="B267" i="1" a="1"/>
  <c r="B268" i="1" a="1"/>
  <c r="B269" i="1" a="1"/>
  <c r="B270" i="1" a="1"/>
  <c r="B271" i="1" a="1"/>
  <c r="B227" i="1" a="1"/>
  <c r="B228" i="1" a="1"/>
  <c r="B229" i="1" a="1"/>
  <c r="B230" i="1" a="1"/>
  <c r="B231" i="1" a="1"/>
  <c r="B232" i="1" a="1"/>
  <c r="B233" i="1" a="1"/>
  <c r="B234" i="1" a="1"/>
  <c r="B235" i="1" a="1"/>
  <c r="B236" i="1" a="1"/>
  <c r="B237" i="1" a="1"/>
  <c r="B238" i="1" a="1"/>
  <c r="B239" i="1" a="1"/>
  <c r="B240" i="1" a="1"/>
  <c r="B241" i="1" a="1"/>
  <c r="B242" i="1" a="1"/>
  <c r="B243" i="1" a="1"/>
  <c r="B244" i="1" a="1"/>
  <c r="B245" i="1" a="1"/>
  <c r="B246" i="1" a="1"/>
  <c r="B247" i="1" a="1"/>
  <c r="B248" i="1" a="1"/>
  <c r="B249" i="1" a="1"/>
  <c r="B250" i="1" a="1"/>
  <c r="B251" i="1" a="1"/>
  <c r="B252" i="1" a="1"/>
  <c r="B253" i="1" a="1"/>
  <c r="B254" i="1" a="1"/>
  <c r="B255" i="1" a="1"/>
  <c r="B256" i="1" a="1"/>
  <c r="W7" i="2"/>
  <c r="X7" i="2"/>
  <c r="Y7" i="2"/>
  <c r="V6" i="2"/>
  <c r="B182" i="1" a="1"/>
  <c r="B183" i="1" a="1"/>
  <c r="B184" i="1" a="1"/>
  <c r="B185" i="1" a="1"/>
  <c r="B186" i="1" a="1"/>
  <c r="B187" i="1" a="1"/>
  <c r="B188" i="1" a="1"/>
  <c r="B189" i="1" a="1"/>
  <c r="B190" i="1" a="1"/>
  <c r="B191" i="1" a="1"/>
  <c r="B192" i="1" a="1"/>
  <c r="B193" i="1" a="1"/>
  <c r="B194" i="1" a="1"/>
  <c r="B195" i="1" a="1"/>
  <c r="B196" i="1" a="1"/>
  <c r="B197" i="1" a="1"/>
  <c r="B198" i="1" a="1"/>
  <c r="B199" i="1" a="1"/>
  <c r="B200" i="1" a="1"/>
  <c r="B201" i="1" a="1"/>
  <c r="B202" i="1" a="1"/>
  <c r="B203" i="1" a="1"/>
  <c r="B204" i="1" a="1"/>
  <c r="B205" i="1" a="1"/>
  <c r="B206" i="1" a="1"/>
  <c r="B207" i="1" a="1"/>
  <c r="B208" i="1" a="1"/>
  <c r="B209" i="1" a="1"/>
  <c r="B210" i="1" a="1"/>
  <c r="B211" i="1" a="1"/>
  <c r="B212" i="1" a="1"/>
  <c r="B213" i="1" a="1"/>
  <c r="B214" i="1" a="1"/>
  <c r="B215" i="1" a="1"/>
  <c r="B216" i="1" a="1"/>
  <c r="B217" i="1" a="1"/>
  <c r="B218" i="1" a="1"/>
  <c r="B219" i="1" a="1"/>
  <c r="B220" i="1" a="1"/>
  <c r="B221" i="1" a="1"/>
  <c r="B222" i="1" a="1"/>
  <c r="B223" i="1" a="1"/>
  <c r="B224" i="1" a="1"/>
  <c r="B225" i="1" a="1"/>
  <c r="B226" i="1" a="1"/>
  <c r="W6" i="2"/>
  <c r="X6" i="2"/>
  <c r="Y6" i="2"/>
  <c r="W5" i="2"/>
  <c r="X5" i="2"/>
  <c r="Y5" i="2"/>
  <c r="V5" i="2"/>
  <c r="V4" i="2"/>
  <c r="B92" i="1" a="1"/>
  <c r="B93" i="1" a="1"/>
  <c r="B94" i="1" a="1"/>
  <c r="B95" i="1" a="1"/>
  <c r="B96" i="1" a="1"/>
  <c r="B97" i="1" a="1"/>
  <c r="B98" i="1" a="1"/>
  <c r="B99" i="1" a="1"/>
  <c r="B100" i="1" a="1"/>
  <c r="B101" i="1" a="1"/>
  <c r="B102" i="1" a="1"/>
  <c r="B103" i="1" a="1"/>
  <c r="B104" i="1" a="1"/>
  <c r="B105" i="1" a="1"/>
  <c r="B106" i="1" a="1"/>
  <c r="B107" i="1" a="1"/>
  <c r="B108" i="1" a="1"/>
  <c r="B109" i="1" a="1"/>
  <c r="B110" i="1" a="1"/>
  <c r="B111" i="1" a="1"/>
  <c r="B112" i="1" a="1"/>
  <c r="B113" i="1" a="1"/>
  <c r="B114" i="1" a="1"/>
  <c r="B115" i="1" a="1"/>
  <c r="B116" i="1" a="1"/>
  <c r="B117" i="1" a="1"/>
  <c r="B118" i="1" a="1"/>
  <c r="B119" i="1" a="1"/>
  <c r="B120" i="1" a="1"/>
  <c r="B121" i="1" a="1"/>
  <c r="B122" i="1" a="1"/>
  <c r="B123" i="1" a="1"/>
  <c r="B124" i="1" a="1"/>
  <c r="B125" i="1" a="1"/>
  <c r="B126" i="1" a="1"/>
  <c r="B127" i="1" a="1"/>
  <c r="B128" i="1" a="1"/>
  <c r="B129" i="1" a="1"/>
  <c r="B130" i="1" a="1"/>
  <c r="B131" i="1" a="1"/>
  <c r="B132" i="1" a="1"/>
  <c r="B133" i="1" a="1"/>
  <c r="B134" i="1" a="1"/>
  <c r="B135" i="1" a="1"/>
  <c r="B136" i="1" a="1"/>
  <c r="B137" i="1" a="1"/>
  <c r="B138" i="1" a="1"/>
  <c r="B139" i="1" a="1"/>
  <c r="B140" i="1" a="1"/>
  <c r="B141" i="1" a="1"/>
  <c r="B142" i="1" a="1"/>
  <c r="B143" i="1" a="1"/>
  <c r="B144" i="1" a="1"/>
  <c r="B145" i="1" a="1"/>
  <c r="B146" i="1" a="1"/>
  <c r="B147" i="1" a="1"/>
  <c r="B148" i="1" a="1"/>
  <c r="B149" i="1" a="1"/>
  <c r="B150" i="1" a="1"/>
  <c r="B151" i="1" a="1"/>
  <c r="B152" i="1" a="1"/>
  <c r="B153" i="1" a="1"/>
  <c r="B154" i="1" a="1"/>
  <c r="B155" i="1" a="1"/>
  <c r="B156" i="1" a="1"/>
  <c r="B157" i="1" a="1"/>
  <c r="B158" i="1" a="1"/>
  <c r="B159" i="1" a="1"/>
  <c r="B160" i="1" a="1"/>
  <c r="B161" i="1" a="1"/>
  <c r="B162" i="1" a="1"/>
  <c r="B163" i="1" a="1"/>
  <c r="B164" i="1" a="1"/>
  <c r="B165" i="1" a="1"/>
  <c r="B166" i="1" a="1"/>
  <c r="B167" i="1" a="1"/>
  <c r="B168" i="1" a="1"/>
  <c r="B169" i="1" a="1"/>
  <c r="B170" i="1" a="1"/>
  <c r="B171" i="1" a="1"/>
  <c r="B172" i="1" a="1"/>
  <c r="B173" i="1" a="1"/>
  <c r="B174" i="1" a="1"/>
  <c r="B175" i="1" a="1"/>
  <c r="B176" i="1" a="1"/>
  <c r="B177" i="1" a="1"/>
  <c r="B178" i="1" a="1"/>
  <c r="B179" i="1" a="1"/>
  <c r="B180" i="1" a="1"/>
  <c r="B181" i="1" a="1"/>
  <c r="W3" i="2"/>
  <c r="W4" i="2"/>
  <c r="X4" i="2"/>
  <c r="Y4" i="2"/>
  <c r="X3" i="2"/>
  <c r="Y3" i="2"/>
  <c r="B48" i="1" a="1"/>
  <c r="B49" i="1" a="1"/>
  <c r="B50" i="1" a="1"/>
  <c r="B51" i="1" a="1"/>
  <c r="B52" i="1" a="1"/>
  <c r="B53" i="1" a="1"/>
  <c r="B54" i="1" a="1"/>
  <c r="B55" i="1" a="1"/>
  <c r="B56" i="1" a="1"/>
  <c r="B57" i="1" a="1"/>
  <c r="B58" i="1" a="1"/>
  <c r="B59" i="1" a="1"/>
  <c r="B60" i="1" a="1"/>
  <c r="B61" i="1" a="1"/>
  <c r="B62" i="1" a="1"/>
  <c r="B63" i="1" a="1"/>
  <c r="B64" i="1" a="1"/>
  <c r="B65" i="1" a="1"/>
  <c r="B66" i="1" a="1"/>
  <c r="B67" i="1" a="1"/>
  <c r="B68" i="1" a="1"/>
  <c r="B69" i="1" a="1"/>
  <c r="B70" i="1" a="1"/>
  <c r="B71" i="1" a="1"/>
  <c r="B72" i="1" a="1"/>
  <c r="B73" i="1" a="1"/>
  <c r="B74" i="1" a="1"/>
  <c r="B75" i="1" a="1"/>
  <c r="B76" i="1" a="1"/>
  <c r="B77" i="1" a="1"/>
  <c r="B78" i="1" a="1"/>
  <c r="B79" i="1" a="1"/>
  <c r="B80" i="1" a="1"/>
  <c r="B81" i="1" a="1"/>
  <c r="B82" i="1" a="1"/>
  <c r="B83" i="1" a="1"/>
  <c r="B84" i="1" a="1"/>
  <c r="B85" i="1" a="1"/>
  <c r="B86" i="1" a="1"/>
  <c r="B87" i="1" a="1"/>
  <c r="B88" i="1" a="1"/>
  <c r="B89" i="1" a="1"/>
  <c r="B90" i="1" a="1"/>
  <c r="B91" i="1" a="1"/>
  <c r="B47" i="1" a="1"/>
  <c r="B1" i="1" a="1"/>
  <c r="M18" i="2" l="1"/>
  <c r="M16" i="2"/>
  <c r="L16" i="2"/>
  <c r="M8" i="2"/>
  <c r="L8" i="2"/>
  <c r="L17" i="2"/>
  <c r="M17" i="2"/>
  <c r="M6" i="2"/>
  <c r="L6" i="2"/>
  <c r="M15" i="2"/>
  <c r="L15" i="2"/>
  <c r="M14" i="2"/>
  <c r="L14" i="2"/>
  <c r="M4" i="2"/>
  <c r="L4" i="2"/>
  <c r="M13" i="2"/>
  <c r="L13" i="2"/>
  <c r="M3" i="2"/>
  <c r="L3" i="2"/>
  <c r="C17" i="3"/>
  <c r="I17" i="3"/>
  <c r="L17" i="3"/>
  <c r="K17" i="3"/>
  <c r="J17" i="3"/>
  <c r="H17" i="3"/>
  <c r="B17" i="3"/>
  <c r="G17" i="3"/>
  <c r="F17" i="3"/>
  <c r="E17" i="3"/>
  <c r="D1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<sst xmlns="http://schemas.openxmlformats.org/spreadsheetml/2006/main" count="940" uniqueCount="523">
  <si>
    <t>model,class_name,iou,dice,precision,recall</t>
  </si>
  <si>
    <t>Deeplab_DICE_1_Fold_2,drusen,0.33971188298597094,0.5071417030784496,0.5848729944061479,0.44764800478042593</t>
  </si>
  <si>
    <t>Deeplab_DICE_1_Fold_2,edema,0.3693288017904073,0.5394304148244121,0.5443597881058019,0.5345895148742104</t>
  </si>
  <si>
    <t>Deeplab_DICE_1_Fold_2,epiretinal_fibrosis,0.6137082691206436,0.7606186085358179,0.7017354672943479,0.8302887507165216</t>
  </si>
  <si>
    <t>Deeplab_DICE_1_Fold_2,fibrosis,0.3291532818748906,0.4952826530444859,0.62144706560015,0.4117004090632765</t>
  </si>
  <si>
    <t>Deeplab_DICE_1_Fold_2,geographic_atrophy,0.7164491782666792,0.8348038349613948,0.8118167367726684,0.8591306563483639</t>
  </si>
  <si>
    <t>Deeplab_DICE_1_Fold_2,hard_exudates,0.5827032418924245,0.7363392283138199,0.7252271738487628,0.7477971030845335</t>
  </si>
  <si>
    <t>Deeplab_DICE_1_Fold_2,hemorrhages,0.5446580654161489,0.7052150603563018,0.7274888913360983,0.684264644189612</t>
  </si>
  <si>
    <t>Deeplab_DICE_1_Fold_2,laser_coagulates,0.5413566012522176,0.7024417332269672,0.6094202882712776,0.8289759922938681</t>
  </si>
  <si>
    <t>Deeplab_DICE_1_Fold_2,macular_hole,0.7263737540369236,0.8415023135498712,0.7454420884127951,0.9659820784836819</t>
  </si>
  <si>
    <t>Deeplab_DICE_1_Fold_2,microaneurysms,0.16201700656473286,0.2788547941199298,0.3134902605246136,0.25111117994126536</t>
  </si>
  <si>
    <t>Deeplab_DICE_1_Fold_2,neovascularization,0.5859510628060817,0.7389270407490844,0.6742725887017316,0.8172956457003497</t>
  </si>
  <si>
    <t>Deeplab_DICE_1_Fold_2,soft_exudates,0.3201113912989254,0.48497633367734433,0.7147916020568866,0.366985485029057</t>
  </si>
  <si>
    <t>Deeplab_DICE_1_Fold_2,subretinal_hemorrhage,0.4988901404682895,0.6656793943716571,0.6453709029271021,0.6873075454763514</t>
  </si>
  <si>
    <t>Deeplab_DICE_1_Fold_2,venous_anomalies,0.12844030808720897,0.22764218393602922,0.31902241494704103,0.17695538754018927</t>
  </si>
  <si>
    <t>Deeplab_DICE_1_Fold_2,MEAN,0.46134664184725327,0.6084896640532546,0.6241970188003876,0.6150023141086933</t>
  </si>
  <si>
    <t>drusen</t>
  </si>
  <si>
    <t>0.33971188298597094</t>
  </si>
  <si>
    <t>0.5071417030784496</t>
  </si>
  <si>
    <t>0.5848729944061479</t>
  </si>
  <si>
    <t>0.44764800478042593</t>
  </si>
  <si>
    <t>edema</t>
  </si>
  <si>
    <t>0.3693288017904073</t>
  </si>
  <si>
    <t>0.5394304148244121</t>
  </si>
  <si>
    <t>0.5443597881058019</t>
  </si>
  <si>
    <t>0.5345895148742104</t>
  </si>
  <si>
    <t>epiretinal_fibrosis</t>
  </si>
  <si>
    <t>0.6137082691206436</t>
  </si>
  <si>
    <t>0.7606186085358179</t>
  </si>
  <si>
    <t>0.7017354672943479</t>
  </si>
  <si>
    <t>0.8302887507165216</t>
  </si>
  <si>
    <t>fibrosis</t>
  </si>
  <si>
    <t>0.3291532818748906</t>
  </si>
  <si>
    <t>0.4952826530444859</t>
  </si>
  <si>
    <t>0.62144706560015</t>
  </si>
  <si>
    <t>0.4117004090632765</t>
  </si>
  <si>
    <t>geographic_atrophy</t>
  </si>
  <si>
    <t>0.7164491782666792</t>
  </si>
  <si>
    <t>0.8348038349613948</t>
  </si>
  <si>
    <t>0.8118167367726684</t>
  </si>
  <si>
    <t>0.8591306563483639</t>
  </si>
  <si>
    <t>hard_exudates</t>
  </si>
  <si>
    <t>0.5827032418924245</t>
  </si>
  <si>
    <t>0.7363392283138199</t>
  </si>
  <si>
    <t>0.7252271738487628</t>
  </si>
  <si>
    <t>0.7477971030845335</t>
  </si>
  <si>
    <t>hemorrhages</t>
  </si>
  <si>
    <t>0.5446580654161489</t>
  </si>
  <si>
    <t>0.7052150603563018</t>
  </si>
  <si>
    <t>0.7274888913360983</t>
  </si>
  <si>
    <t>0.684264644189612</t>
  </si>
  <si>
    <t>laser_coagulates</t>
  </si>
  <si>
    <t>0.5413566012522176</t>
  </si>
  <si>
    <t>0.7024417332269672</t>
  </si>
  <si>
    <t>0.6094202882712776</t>
  </si>
  <si>
    <t>0.8289759922938681</t>
  </si>
  <si>
    <t>macular_hole</t>
  </si>
  <si>
    <t>0.7263737540369236</t>
  </si>
  <si>
    <t>0.8415023135498712</t>
  </si>
  <si>
    <t>0.7454420884127951</t>
  </si>
  <si>
    <t>0.9659820784836819</t>
  </si>
  <si>
    <t>microaneurysms</t>
  </si>
  <si>
    <t>0.16201700656473286</t>
  </si>
  <si>
    <t>0.2788547941199298</t>
  </si>
  <si>
    <t>0.3134902605246136</t>
  </si>
  <si>
    <t>0.25111117994126536</t>
  </si>
  <si>
    <t>neovascularization</t>
  </si>
  <si>
    <t>0.5859510628060817</t>
  </si>
  <si>
    <t>0.7389270407490844</t>
  </si>
  <si>
    <t>0.6742725887017316</t>
  </si>
  <si>
    <t>0.8172956457003497</t>
  </si>
  <si>
    <t>soft_exudates</t>
  </si>
  <si>
    <t>0.3201113912989254</t>
  </si>
  <si>
    <t>0.48497633367734433</t>
  </si>
  <si>
    <t>0.7147916020568866</t>
  </si>
  <si>
    <t>0.366985485029057</t>
  </si>
  <si>
    <t>subretinal_hemorrhage</t>
  </si>
  <si>
    <t>0.4988901404682895</t>
  </si>
  <si>
    <t>0.6656793943716571</t>
  </si>
  <si>
    <t>0.6453709029271021</t>
  </si>
  <si>
    <t>0.6873075454763514</t>
  </si>
  <si>
    <t>venous_anomalies</t>
  </si>
  <si>
    <t>0.12844030808720897</t>
  </si>
  <si>
    <t>0.22764218393602922</t>
  </si>
  <si>
    <t>0.31902241494704103</t>
  </si>
  <si>
    <t>0.17695538754018927</t>
  </si>
  <si>
    <t>MEAN</t>
  </si>
  <si>
    <t>0.46134664184725327</t>
  </si>
  <si>
    <t>0.6084896640532546</t>
  </si>
  <si>
    <t>0.6241970188003876</t>
  </si>
  <si>
    <t>0.6150023141086933</t>
  </si>
  <si>
    <t>Deeplab_DICE_1_Fold_2</t>
  </si>
  <si>
    <t>Deeplab_DICE_2_Fold_3,drusen,0.3621915248181946,0.5317776806261287,0.5780655108823661,0.49235315385095235</t>
  </si>
  <si>
    <t>Deeplab_DICE_2_Fold_3,edema,0.3054680865941911,0.46798246503462304,0.47158010680510387,0.46443929983147714</t>
  </si>
  <si>
    <t>Deeplab_DICE_2_Fold_3,epiretinal_fibrosis,0.6216374944141824,0.7666787386890673,0.7089558176377939,0.8346343603061547</t>
  </si>
  <si>
    <t>Deeplab_DICE_2_Fold_3,fibrosis,0.3979541008227535,0.5693378639377947,0.5534701580470819,0.5861422623202275</t>
  </si>
  <si>
    <t>Deeplab_DICE_2_Fold_3,geographic_atrophy,0.7457835414429911,0.8543826009799106,0.8039878470078181,0.9115174146775376</t>
  </si>
  <si>
    <t>Deeplab_DICE_2_Fold_3,hard_exudates,0.5686237591737634,0.7249969992463621,0.7710495788096041,0.6841355455728078</t>
  </si>
  <si>
    <t>Deeplab_DICE_2_Fold_3,hemorrhages,0.5273784571199511,0.6905668397528458,0.692953002666861,0.688197053806307</t>
  </si>
  <si>
    <t>Deeplab_DICE_2_Fold_3,laser_coagulates,0.6012587492164639,0.7509826247765077,0.7343530850308841,0.768382772074196</t>
  </si>
  <si>
    <t>Deeplab_DICE_2_Fold_3,macular_hole,0.8041546441752276,0.8914475782566282,0.8110512500351023,0.9895364434021147</t>
  </si>
  <si>
    <t>Deeplab_DICE_2_Fold_3,microaneurysms,0.13451248083758302,0.23712825219564923,0.3513789195311027,0.17894453315878245</t>
  </si>
  <si>
    <t>Deeplab_DICE_2_Fold_3,neovascularization,0.5757599476252869,0.7307711412426401,0.6302798724209823,0.8693851444559875</t>
  </si>
  <si>
    <t>Deeplab_DICE_2_Fold_3,soft_exudates,0.491122187351457,0.6587282940558911,0.6414072089584972,0.6770108489808212</t>
  </si>
  <si>
    <t>Deeplab_DICE_2_Fold_3,subretinal_hemorrhage,0.4793923677514781,0.6480936068098072,0.6711221017894428,0.6265930557186965</t>
  </si>
  <si>
    <t>Deeplab_DICE_2_Fold_3,venous_anomalies,0.3018447434653088,0.4637184963574764,0.4599517390802412,0.4675474584898583</t>
  </si>
  <si>
    <t>Deeplab_DICE_2_Fold_3,MEAN,0.49407729177205945,0.6418995129972379,0.6342575856216344,0.6599156676175658</t>
  </si>
  <si>
    <t>Deeplab_DICE_3_Fold_1,drusen,0.3694523303849434,0.5395621624610956,0.5833288373947557,0.5019046743963665</t>
  </si>
  <si>
    <t>Deeplab_DICE_3_Fold_1,edema,0.4126395990972416,0.5842107206409083,0.5817374583864957,0.5867051028824327</t>
  </si>
  <si>
    <t>Deeplab_DICE_3_Fold_1,epiretinal_fibrosis,0.6040734152080894,0.753174274295576,0.6939384989755969,0.8234668072029407</t>
  </si>
  <si>
    <t>Deeplab_DICE_3_Fold_1,fibrosis,0.3910137793763179,0.5621997210575942,0.6067643155486369,0.5237334374246658</t>
  </si>
  <si>
    <t>Deeplab_DICE_3_Fold_1,geographic_atrophy,0.7910831328051496,0.8833572471492991,0.825612533552015,0.9497869241264179</t>
  </si>
  <si>
    <t>Deeplab_DICE_3_Fold_1,hard_exudates,0.49878937317280664,0.665589684715889,0.7170499354100253,0.6210210990884784</t>
  </si>
  <si>
    <t>Deeplab_DICE_3_Fold_1,hemorrhages,0.5801116886352681,0.7342666886241525,0.7969239062759599,0.6807439826887607</t>
  </si>
  <si>
    <t>Deeplab_DICE_3_Fold_1,laser_coagulates,0.6459400149853316,0.7848888891507848,0.7217445790322587,0.8601413142778727</t>
  </si>
  <si>
    <t>Deeplab_DICE_3_Fold_1,macular_hole,0.7510269664504345,0.8578131357655404,0.7664014662388685,0.9739839745901071</t>
  </si>
  <si>
    <t>Deeplab_DICE_3_Fold_1,microaneurysms,0.15356190634887787,0.26623955854248765,0.34217048650724313,0.2178880915505823</t>
  </si>
  <si>
    <t>Deeplab_DICE_3_Fold_1,neovascularization,0.5956591519783816,0.746599486788707,0.7040516371529165,0.7946206822851979</t>
  </si>
  <si>
    <t>Deeplab_DICE_3_Fold_1,soft_exudates,0.5171662523691133,0.6817529081754071,0.8285129418670425,0.5791620620423972</t>
  </si>
  <si>
    <t>Deeplab_DICE_3_Fold_1,subretinal_hemorrhage,0.5443460747160117,0.704953486304695,0.6700861975375058,0.7436485195208823</t>
  </si>
  <si>
    <t>Deeplab_DICE_3_Fold_1,venous_anomalies,0.02801089454421057,0.05449532625163426,0.6480897991303264,0.028443514861319835</t>
  </si>
  <si>
    <t>Deeplab_DICE_3_Fold_1,MEAN,0.4916338985765841,0.6299359492802694,0.6776008995006891,0.6346607276384587</t>
  </si>
  <si>
    <t>Deeplab_DICE_2_Fold_3</t>
  </si>
  <si>
    <t>0.3054680865941911</t>
  </si>
  <si>
    <t>0.46798246503462304</t>
  </si>
  <si>
    <t>0.47158010680510387</t>
  </si>
  <si>
    <t>0.46443929983147714</t>
  </si>
  <si>
    <t>0.6216374944141824</t>
  </si>
  <si>
    <t>0.7666787386890673</t>
  </si>
  <si>
    <t>0.7089558176377939</t>
  </si>
  <si>
    <t>0.8346343603061547</t>
  </si>
  <si>
    <t>0.3979541008227535</t>
  </si>
  <si>
    <t>0.5693378639377947</t>
  </si>
  <si>
    <t>0.5534701580470819</t>
  </si>
  <si>
    <t>0.5861422623202275</t>
  </si>
  <si>
    <t>0.7457835414429911</t>
  </si>
  <si>
    <t>0.8543826009799106</t>
  </si>
  <si>
    <t>0.8039878470078181</t>
  </si>
  <si>
    <t>0.9115174146775376</t>
  </si>
  <si>
    <t>0.5686237591737634</t>
  </si>
  <si>
    <t>0.7249969992463621</t>
  </si>
  <si>
    <t>0.7710495788096041</t>
  </si>
  <si>
    <t>0.6841355455728078</t>
  </si>
  <si>
    <t>0.5273784571199511</t>
  </si>
  <si>
    <t>0.6905668397528458</t>
  </si>
  <si>
    <t>0.692953002666861</t>
  </si>
  <si>
    <t>0.688197053806307</t>
  </si>
  <si>
    <t>0.6012587492164639</t>
  </si>
  <si>
    <t>0.7509826247765077</t>
  </si>
  <si>
    <t>0.7343530850308841</t>
  </si>
  <si>
    <t>0.768382772074196</t>
  </si>
  <si>
    <t>0.8041546441752276</t>
  </si>
  <si>
    <t>0.8914475782566282</t>
  </si>
  <si>
    <t>0.8110512500351023</t>
  </si>
  <si>
    <t>0.9895364434021147</t>
  </si>
  <si>
    <t>0.13451248083758302</t>
  </si>
  <si>
    <t>0.23712825219564923</t>
  </si>
  <si>
    <t>0.3513789195311027</t>
  </si>
  <si>
    <t>0.17894453315878245</t>
  </si>
  <si>
    <t>0.5757599476252869</t>
  </si>
  <si>
    <t>0.7307711412426401</t>
  </si>
  <si>
    <t>0.6302798724209823</t>
  </si>
  <si>
    <t>0.8693851444559875</t>
  </si>
  <si>
    <t>0.491122187351457</t>
  </si>
  <si>
    <t>0.6587282940558911</t>
  </si>
  <si>
    <t>0.6414072089584972</t>
  </si>
  <si>
    <t>0.6770108489808212</t>
  </si>
  <si>
    <t>0.4793923677514781</t>
  </si>
  <si>
    <t>0.6480936068098072</t>
  </si>
  <si>
    <t>0.6711221017894428</t>
  </si>
  <si>
    <t>0.6265930557186965</t>
  </si>
  <si>
    <t>0.3018447434653088</t>
  </si>
  <si>
    <t>0.4637184963574764</t>
  </si>
  <si>
    <t>0.4599517390802412</t>
  </si>
  <si>
    <t>0.4675474584898583</t>
  </si>
  <si>
    <t>0.49407729177205945</t>
  </si>
  <si>
    <t>0.6418995129972379</t>
  </si>
  <si>
    <t>0.6342575856216344</t>
  </si>
  <si>
    <t>0.6599156676175658</t>
  </si>
  <si>
    <t>Deeplab_DICE_3_Fold_1</t>
  </si>
  <si>
    <t>0.3694523303849434</t>
  </si>
  <si>
    <t>0.5395621624610956</t>
  </si>
  <si>
    <t>0.5833288373947557</t>
  </si>
  <si>
    <t>0.5019046743963665</t>
  </si>
  <si>
    <t>0.4126395990972416</t>
  </si>
  <si>
    <t>0.5842107206409083</t>
  </si>
  <si>
    <t>0.5817374583864957</t>
  </si>
  <si>
    <t>0.5867051028824327</t>
  </si>
  <si>
    <t>0.6040734152080894</t>
  </si>
  <si>
    <t>0.753174274295576</t>
  </si>
  <si>
    <t>0.6939384989755969</t>
  </si>
  <si>
    <t>0.8234668072029407</t>
  </si>
  <si>
    <t>0.3910137793763179</t>
  </si>
  <si>
    <t>0.5621997210575942</t>
  </si>
  <si>
    <t>0.6067643155486369</t>
  </si>
  <si>
    <t>0.5237334374246658</t>
  </si>
  <si>
    <t>0.7910831328051496</t>
  </si>
  <si>
    <t>0.8833572471492991</t>
  </si>
  <si>
    <t>0.825612533552015</t>
  </si>
  <si>
    <t>0.9497869241264179</t>
  </si>
  <si>
    <t>0.49878937317280664</t>
  </si>
  <si>
    <t>0.665589684715889</t>
  </si>
  <si>
    <t>0.7170499354100253</t>
  </si>
  <si>
    <t>0.6210210990884784</t>
  </si>
  <si>
    <t>0.5801116886352681</t>
  </si>
  <si>
    <t>0.7342666886241525</t>
  </si>
  <si>
    <t>0.7969239062759599</t>
  </si>
  <si>
    <t>0.6807439826887607</t>
  </si>
  <si>
    <t>0.6459400149853316</t>
  </si>
  <si>
    <t>0.7848888891507848</t>
  </si>
  <si>
    <t>0.7217445790322587</t>
  </si>
  <si>
    <t>0.8601413142778727</t>
  </si>
  <si>
    <t>0.7510269664504345</t>
  </si>
  <si>
    <t>0.8578131357655404</t>
  </si>
  <si>
    <t>0.7664014662388685</t>
  </si>
  <si>
    <t>0.9739839745901071</t>
  </si>
  <si>
    <t>0.15356190634887787</t>
  </si>
  <si>
    <t>0.26623955854248765</t>
  </si>
  <si>
    <t>0.34217048650724313</t>
  </si>
  <si>
    <t>0.2178880915505823</t>
  </si>
  <si>
    <t>0.5956591519783816</t>
  </si>
  <si>
    <t>0.746599486788707</t>
  </si>
  <si>
    <t>0.7040516371529165</t>
  </si>
  <si>
    <t>0.7946206822851979</t>
  </si>
  <si>
    <t>0.5171662523691133</t>
  </si>
  <si>
    <t>0.6817529081754071</t>
  </si>
  <si>
    <t>0.8285129418670425</t>
  </si>
  <si>
    <t>0.5791620620423972</t>
  </si>
  <si>
    <t>0.5443460747160117</t>
  </si>
  <si>
    <t>0.704953486304695</t>
  </si>
  <si>
    <t>0.6700861975375058</t>
  </si>
  <si>
    <t>0.7436485195208823</t>
  </si>
  <si>
    <t>0.02801089454421057</t>
  </si>
  <si>
    <t>0.05449532625163426</t>
  </si>
  <si>
    <t>0.6480897991303264</t>
  </si>
  <si>
    <t>0.028443514861319835</t>
  </si>
  <si>
    <t>0.4916338985765841</t>
  </si>
  <si>
    <t>0.6299359492802694</t>
  </si>
  <si>
    <t>0.6776008995006891</t>
  </si>
  <si>
    <t>0.6346607276384587</t>
  </si>
  <si>
    <t>0.3621915248181946</t>
  </si>
  <si>
    <t>0.5317776806261287</t>
  </si>
  <si>
    <t>0.5780655108823661</t>
  </si>
  <si>
    <t>0.49235315385095235</t>
  </si>
  <si>
    <t>model</t>
  </si>
  <si>
    <t>class_name</t>
  </si>
  <si>
    <t>iou</t>
  </si>
  <si>
    <t>dice</t>
  </si>
  <si>
    <t>precision</t>
  </si>
  <si>
    <t>recall</t>
  </si>
  <si>
    <t>Deeplab_TVERSKY_1_Fold_2,drusen,0.3425674963390841,0.5103169818622869,0.5187938465076949,0.502112680181943</t>
  </si>
  <si>
    <t>Deeplab_TVERSKY_1_Fold_2,edema,0.38120064752059374,0.5519844610627581,0.5846875673362015,0.5227459136355913</t>
  </si>
  <si>
    <t>Deeplab_TVERSKY_1_Fold_2,epiretinal_fibrosis,0.6409633336660325,0.7812037240759955,0.745143038060556,0.820932173284669</t>
  </si>
  <si>
    <t>Deeplab_TVERSKY_1_Fold_2,fibrosis,0.3574449288673427,0.5266437278830841,0.5872720553747234,0.47736218823611226</t>
  </si>
  <si>
    <t>Deeplab_TVERSKY_1_Fold_2,geographic_atrophy,0.7303666165567899,0.8441755747809409,0.8254855329802061,0.863731555140654</t>
  </si>
  <si>
    <t>Deeplab_TVERSKY_1_Fold_2,hard_exudates,0.5804658416086753,0.7345503158965445,0.733439257637178,0.7356647454597933</t>
  </si>
  <si>
    <t>Deeplab_TVERSKY_1_Fold_2,hemorrhages,0.5406093622636293,0.7018123808741598,0.7063945123958123,0.6972893115719454</t>
  </si>
  <si>
    <t>Deeplab_TVERSKY_1_Fold_2,laser_coagulates,0.5389543154933164,0.7004162632606192,0.5899125153055977,0.8618622515070996</t>
  </si>
  <si>
    <t>Deeplab_TVERSKY_1_Fold_2,macular_hole,0.7820271011408995,0.8776826128404285,0.805952762526959,0.9634277474506203</t>
  </si>
  <si>
    <t>Deeplab_TVERSKY_1_Fold_2,microaneurysms,0.14158069503935616,0.24804325380515507,0.23755112456301342,0.2595050409624603</t>
  </si>
  <si>
    <t>Deeplab_TVERSKY_1_Fold_2,neovascularization,0.6156706749108222,0.7621239705236396,0.7009449404708502,0.8350037606739735</t>
  </si>
  <si>
    <t>Deeplab_TVERSKY_1_Fold_2,soft_exudates,0.3455091912660255,0.5135738849036426,0.6664586513085814,0.4177439536102479</t>
  </si>
  <si>
    <t>Deeplab_TVERSKY_1_Fold_2,subretinal_hemorrhage,0.513429134807789,0.6784977545354264,0.6657594123993356,0.6917330648943297</t>
  </si>
  <si>
    <t>Deeplab_TVERSKY_1_Fold_2,venous_anomalies,0.20385106298103195,0.33866492168266477,0.3185036885850022,0.3615510456732886</t>
  </si>
  <si>
    <t>Deeplab_TVERSKY_1_Fold_2,MEAN,0.47961717160438483,0.6264064162848103,0.6204499218179794,0.6436189594487661</t>
  </si>
  <si>
    <t>Deeplab_TVERSKY_2_Fold_3,drusen,0.3807688124017207,0.5515315945460968,0.5718603226464947,0.5325985598839772</t>
  </si>
  <si>
    <t>Deeplab_TVERSKY_2_Fold_3,edema,0.28826615048698107,0.4475257700095788,0.5376330066679861,0.383286921381193</t>
  </si>
  <si>
    <t>Deeplab_TVERSKY_2_Fold_3,epiretinal_fibrosis,0.6163962639012817,0.7626796444252693,0.6977862994683831,0.8408805991119593</t>
  </si>
  <si>
    <t>Deeplab_TVERSKY_2_Fold_3,fibrosis,0.4447708433029288,0.6156974240788614,0.6073625256848619,0.624264266804212</t>
  </si>
  <si>
    <t>Deeplab_TVERSKY_2_Fold_3,geographic_atrophy,0.7398764808297295,0.8504931114154608,0.7920493630268552,0.9182488706653593</t>
  </si>
  <si>
    <t>Deeplab_TVERSKY_2_Fold_3,hard_exudates,0.5735483617490933,0.7289872693986473,0.7683466664197762,0.6934638275695917</t>
  </si>
  <si>
    <t>Deeplab_TVERSKY_2_Fold_3,hemorrhages,0.5200570205778495,0.6842598843826924,0.6780194056684787,0.6906163047348993</t>
  </si>
  <si>
    <t>Deeplab_TVERSKY_2_Fold_3,laser_coagulates,0.6039018599539585,0.7530409123302519,0.7130286871943761,0.7978107570804295</t>
  </si>
  <si>
    <t>Deeplab_TVERSKY_2_Fold_3,macular_hole,0.8069221297539,0.8931454393818306,0.8141924975516761,0.9890549417644022</t>
  </si>
  <si>
    <t>Deeplab_TVERSKY_2_Fold_3,microaneurysms,0.12520947055792786,0.22255317580262374,0.26171546484687597,0.19358562441067292</t>
  </si>
  <si>
    <t>Deeplab_TVERSKY_2_Fold_3,neovascularization,0.6462370565448473,0.7851081397732372,0.7209606557083512,0.8617855178460372</t>
  </si>
  <si>
    <t>Deeplab_TVERSKY_2_Fold_3,soft_exudates,0.4991055936174937,0.6658711644362574,0.6486812600478785,0.6839969258564711</t>
  </si>
  <si>
    <t>Deeplab_TVERSKY_2_Fold_3,subretinal_hemorrhage,0.45535743056222977,0.62576714283352,0.6233215333647896,0.6282320186498123</t>
  </si>
  <si>
    <t>Deeplab_TVERSKY_2_Fold_3,venous_anomalies,0.34038821547678316,0.5078949688552808,0.5225746440582746,0.4940174942351529</t>
  </si>
  <si>
    <t>Deeplab_TVERSKY_2_Fold_3,MEAN,0.5029146921226232,0.649611117262115,0.6398237380253613,0.6665601878567264</t>
  </si>
  <si>
    <t>Deeplab_TVERSKY_3_Fold_1,drusen,0.3684293820361427,0.5384704346057543,0.5201188880886478,0.5581643533008027</t>
  </si>
  <si>
    <t>Deeplab_TVERSKY_3_Fold_1,edema,0.41650001275612514,0.5880691973249319,0.6062428205778808,0.5709534596718977</t>
  </si>
  <si>
    <t>Deeplab_TVERSKY_3_Fold_1,epiretinal_fibrosis,0.6275894462025496,0.7711888863212101,0.7490729639101212,0.7946504564010587</t>
  </si>
  <si>
    <t>Deeplab_TVERSKY_3_Fold_1,fibrosis,0.3971015403907574,0.5684648236515314,0.5739224235183331,0.5631100419527791</t>
  </si>
  <si>
    <t>Deeplab_TVERSKY_3_Fold_1,geographic_atrophy,0.7991647219849086,0.8883730458023199,0.8308156028333379,0.9544990611138338</t>
  </si>
  <si>
    <t>Deeplab_TVERSKY_3_Fold_1,hard_exudates,0.48091135571277377,0.6494802728841356,0.6878065877316693,0.615199791532289</t>
  </si>
  <si>
    <t>Deeplab_TVERSKY_3_Fold_1,hemorrhages,0.582338408774168,0.7360478713593301,0.77185433857516,0.7034162594423673</t>
  </si>
  <si>
    <t>Deeplab_TVERSKY_3_Fold_1,laser_coagulates,0.643288723463459,0.7829284218632483,0.7108752700678214,0.8712354150181105</t>
  </si>
  <si>
    <t>Deeplab_TVERSKY_3_Fold_1,macular_hole,0.7687007446901396,0.8692264612856361,0.7807264470014121,0.9803556389708654</t>
  </si>
  <si>
    <t>Deeplab_TVERSKY_3_Fold_1,microaneurysms,0.11284045129749536,0.20279717755753965,0.2603924331035393,0.16606570749632563</t>
  </si>
  <si>
    <t>Deeplab_TVERSKY_3_Fold_1,neovascularization,0.5817155776002738,0.7355501657040431,0.6773527011326,0.8046881656454155</t>
  </si>
  <si>
    <t>Deeplab_TVERSKY_3_Fold_1,soft_exudates,0.527657007718683,0.6908055997552177,0.7771912442594842,0.6217026770873036</t>
  </si>
  <si>
    <t>Deeplab_TVERSKY_3_Fold_1,subretinal_hemorrhage,0.5435281678781153,0.7042672484886392,0.7216593775851909,0.6876936987516415</t>
  </si>
  <si>
    <t>Deeplab_TVERSKY_3_Fold_1,venous_anomalies,0.0,0.0,0.0,0.0</t>
  </si>
  <si>
    <t>Deeplab_TVERSKY_3_Fold_1,MEAN,0.4892689671789708,0.6232621147573955,0.6191450784560856,0.635123909027478</t>
  </si>
  <si>
    <t>Deeplab_TVERSKY_1_Fold_2</t>
  </si>
  <si>
    <t>Deeplab_TVERSKY_2_Fold_3</t>
  </si>
  <si>
    <t>Deeplab_TVERSKY_3_Fold_1</t>
  </si>
  <si>
    <t>Deeplab DICE</t>
  </si>
  <si>
    <t>Deeplab Tversky</t>
  </si>
  <si>
    <t>TransUNet_DICE_1_Fold_1,drusen,0.23212999981496318,0.37679465616424185,0.34554295221533726,0.4142614170394462</t>
  </si>
  <si>
    <t>TransUNet_DICE_1_Fold_1,edema,0.41678663948761485,0.5883548416836384,0.6293462480241142,0.5523767159871148</t>
  </si>
  <si>
    <t>TransUNet_DICE_1_Fold_1,epiretinal_fibrosis,0.5917930397561068,0.7435552549554819,0.7492787482393027,0.7379185385673204</t>
  </si>
  <si>
    <t>TransUNet_DICE_1_Fold_1,fibrosis,0.42834265329105925,0.5997757643155309,0.6619206121943563,0.5482984108300717</t>
  </si>
  <si>
    <t>TransUNet_DICE_1_Fold_1,geographic_atrophy,0.8241537937130494,0.9036012166885244,0.8959814220186795,0.9113517267540386</t>
  </si>
  <si>
    <t>TransUNet_DICE_1_Fold_1,hard_exudates,0.3993885519954344,0.5708043722752097,0.5606258405849294,0.5813593342093761</t>
  </si>
  <si>
    <t>TransUNet_DICE_1_Fold_1,hemorrhages,0.5953191604289844,0.746332364326273,0.7344956215020728,0.7585568654270772</t>
  </si>
  <si>
    <t>TransUNet_DICE_1_Fold_1,laser_coagulates,0.5933578977562355,0.7447892260637755,0.6870756169260339,0.8130877152498183</t>
  </si>
  <si>
    <t>TransUNet_DICE_1_Fold_1,macular_hole,0.7149395296731403,0.8337781213888101,0.7308067228107504,0.9705262398034191</t>
  </si>
  <si>
    <t>TransUNet_DICE_1_Fold_1,microaneurysms,0.0,0.0,0.0,0.0</t>
  </si>
  <si>
    <t>TransUNet_DICE_1_Fold_1,neovascularization,0.582395446116372,0.7360934304326121,0.7202068687065007,0.752696662801238</t>
  </si>
  <si>
    <t>TransUNet_DICE_1_Fold_1,soft_exudates,0.3733316794126075,0.5436875665349634,0.48365896127088154,0.6207283306250105</t>
  </si>
  <si>
    <t>TransUNet_DICE_1_Fold_1,subretinal_hemorrhage,0.5711178039534691,0.7270209815156338,0.7319243232304312,0.7221828999996946</t>
  </si>
  <si>
    <t>TransUNet_DICE_1_Fold_1,venous_anomalies,0.0,0.0,0.0,0.0</t>
  </si>
  <si>
    <t>TransUNet_DICE_1_Fold_1,MEAN,0.4516468710999312,0.5796134140246211,0.5664902812659565,0.5988103469495448</t>
  </si>
  <si>
    <t>TransUNet_DICE_2_Fold_2,drusen,0.1848870082688525,0.3120753404815818,0.2812661344187824,0.35046435026112466</t>
  </si>
  <si>
    <t>TransUNet_DICE_2_Fold_2,edema,0.33951918690615124,0.5069269484527936,0.5329206505393211,0.4833510498990907</t>
  </si>
  <si>
    <t>TransUNet_DICE_2_Fold_2,epiretinal_fibrosis,0.6281179003371706,0.7715877335506136,0.7884748903562409,0.7554087701990485</t>
  </si>
  <si>
    <t>TransUNet_DICE_2_Fold_2,fibrosis,0.3311720426832589,0.49756460031373795,0.5001984249067041,0.4949583675547959</t>
  </si>
  <si>
    <t>TransUNet_DICE_2_Fold_2,geographic_atrophy,0.7205336360931476,0.8375699503664209,0.8608227222729457,0.8155403577130133</t>
  </si>
  <si>
    <t>TransUNet_DICE_2_Fold_2,hard_exudates,0.4534897531029233,0.624001307384258,0.6087840304707669,0.639998835264538</t>
  </si>
  <si>
    <t>TransUNet_DICE_2_Fold_2,hemorrhages,0.544517736168519,0.7050974209196234,0.6866349011465338,0.7245802302044364</t>
  </si>
  <si>
    <t>TransUNet_DICE_2_Fold_2,laser_coagulates,0.4845809169361145,0.6528184639961492,0.5470367751050591,0.8093180530508719</t>
  </si>
  <si>
    <t>TransUNet_DICE_2_Fold_2,macular_hole,0.7279322391990747,0.8425472049025297,0.7617411340077911,0.9425316716446714</t>
  </si>
  <si>
    <t>TransUNet_DICE_2_Fold_2,microaneurysms,0.0,0.0,0.0,0.0</t>
  </si>
  <si>
    <t>TransUNet_DICE_2_Fold_2,neovascularization,0.5438208448155831,0.7045128929847363,0.6605061860150535,0.7548021365149022</t>
  </si>
  <si>
    <t>TransUNet_DICE_2_Fold_2,soft_exudates,0.24056409764176656,0.38783017838266254,0.4359462490236518,0.3492796374673902</t>
  </si>
  <si>
    <t>TransUNet_DICE_2_Fold_2,subretinal_hemorrhage,0.5431463808755829,0.703946673636238,0.6931205893076275,0.7151163166511124</t>
  </si>
  <si>
    <t>TransUNet_DICE_2_Fold_2,venous_anomalies,0.0,0.0,0.0,0.0</t>
  </si>
  <si>
    <t>TransUNet_DICE_2_Fold_2,MEAN,0.4101629816448675,0.539034193955096,0.5255323348264627,0.559667841173214</t>
  </si>
  <si>
    <t>TransUNet_DICE_3_Fold_3,drusen,0.18924188081997487,0.3182563343455308,0.3501570521246846,0.2916828517385825</t>
  </si>
  <si>
    <t>TransUNet_DICE_3_Fold_3,edema,0.2822989154219523,0.440301262095444,0.523845516251553,0.3797394246429138</t>
  </si>
  <si>
    <t>TransUNet_DICE_3_Fold_3,epiretinal_fibrosis,0.5937256633669873,0.7450788765146088,0.7862946450194488,0.7079687713239181</t>
  </si>
  <si>
    <t>TransUNet_DICE_3_Fold_3,fibrosis,0.38478964723184633,0.5557373251613045,0.5350197797727418,0.5781239929383379</t>
  </si>
  <si>
    <t>TransUNet_DICE_3_Fold_3,geographic_atrophy,0.7304301791341224,0.8442180308015863,0.7939650606950046,0.9012622337965097</t>
  </si>
  <si>
    <t>TransUNet_DICE_3_Fold_3,hard_exudates,0.4619802537421038,0.6319924671480522,0.638168906675592,0.6259344374312111</t>
  </si>
  <si>
    <t>TransUNet_DICE_3_Fold_3,hemorrhages,0.52328604394686,0.6870489571230062,0.7094952114789346,0.665979409397666</t>
  </si>
  <si>
    <t>TransUNet_DICE_3_Fold_3,laser_coagulates,0.5784206176826306,0.7329106211648995,0.6621254296057498,0.8206422101503844</t>
  </si>
  <si>
    <t>TransUNet_DICE_3_Fold_3,macular_hole,0.7570273777189118,0.8617138097207506,0.7883255785846764,0.9501686267288134</t>
  </si>
  <si>
    <t>TransUNet_DICE_3_Fold_3,microaneurysms,0.0,0.0,0.0,0.0</t>
  </si>
  <si>
    <t>TransUNet_DICE_3_Fold_3,neovascularization,0.5432580266299357,0.7040404355663926,0.6428526771877275,0.7781013848642054</t>
  </si>
  <si>
    <t>TransUNet_DICE_3_Fold_3,soft_exudates,0.420013491664061,0.5915626775797218,0.5824166230137597,0.601000567515288</t>
  </si>
  <si>
    <t>TransUNet_DICE_3_Fold_3,subretinal_hemorrhage,0.44385121076425826,0.6148157198681424,0.5188494857031954,0.754337796295935</t>
  </si>
  <si>
    <t>TransUNet_DICE_3_Fold_3,venous_anomalies,0.0,0.0,0.0,0.0</t>
  </si>
  <si>
    <t>TransUNet_DICE_3_Fold_3,MEAN,0.4220230934374031,0.5519768940778171,0.5379654261509336,0.5753529790588404</t>
  </si>
  <si>
    <t>TransUNet_TVERSKY_1_Fold_1,drusen,0.2496919864124048,0.3996056454346266,0.3810593447526431,0.4200496172465673</t>
  </si>
  <si>
    <t>TransUNet_TVERSKY_1_Fold_1,edema,0.4137564545469185,0.5853291820047173,0.5815687876734621,0.5891385218538594</t>
  </si>
  <si>
    <t>TransUNet_TVERSKY_1_Fold_1,epiretinal_fibrosis,0.6327211807196673,0.7750511087763041,0.7560742739095191,0.7950050743248249</t>
  </si>
  <si>
    <t>TransUNet_TVERSKY_1_Fold_1,fibrosis,0.4472409816154722,0.6180601396682986,0.6531860117054296,0.586519348509499</t>
  </si>
  <si>
    <t>TransUNet_TVERSKY_1_Fold_1,geographic_atrophy,0.8120655673130199,0.8962871785232065,0.8538515453133781,0.9431614305450527</t>
  </si>
  <si>
    <t>TransUNet_TVERSKY_1_Fold_1,hard_exudates,0.40766306449611606,0.5792054572974709,0.5594955660197566,0.6003547339918568</t>
  </si>
  <si>
    <t>TransUNet_TVERSKY_1_Fold_1,hemorrhages,0.5518435194887943,0.7112102638680757,0.7697959140175012,0.6609113225298988</t>
  </si>
  <si>
    <t>TransUNet_TVERSKY_1_Fold_1,laser_coagulates,0.6270487130177557,0.7707805033750244,0.7083926293061017,0.8452185885276252</t>
  </si>
  <si>
    <t>TransUNet_TVERSKY_1_Fold_1,macular_hole,0.7332199727557456,0.846078379295338,0.7698930501327216,0.938997569719931</t>
  </si>
  <si>
    <t>TransUNet_TVERSKY_1_Fold_1,microaneurysms,0.0,0.0,0.0,0.0</t>
  </si>
  <si>
    <t>TransUNet_TVERSKY_1_Fold_1,neovascularization,0.5858922746145425,0.7388802934385262,0.7273689609638245,0.7507618413584835</t>
  </si>
  <si>
    <t>TransUNet_TVERSKY_1_Fold_1,soft_exudates,0.44958773472685093,0.6202973769111916,0.606567570904039,0.6346631328666977</t>
  </si>
  <si>
    <t>TransUNet_TVERSKY_1_Fold_1,subretinal_hemorrhage,0.5842856914637697,0.7376014245561108,0.7674234002753859,0.7100105065828614</t>
  </si>
  <si>
    <t>TransUNet_TVERSKY_1_Fold_1,venous_anomalies,0.0,0.0,0.0,0.0</t>
  </si>
  <si>
    <t>TransUNet_TVERSKY_1_Fold_1,MEAN,0.4639297957979327,0.5913133537963493,0.5810483610695545,0.6053422634326541</t>
  </si>
  <si>
    <t>TransUNet_TVERSKY_2_Fold_2,drusen,0.20747655792023598,0.3436531443353148,0.32680247522691475,0.3623360018278029</t>
  </si>
  <si>
    <t>TransUNet_TVERSKY_2_Fold_2,edema,0.4046804497871812,0.5761886268844891,0.6580304502875206,0.512452858529369</t>
  </si>
  <si>
    <t>TransUNet_TVERSKY_2_Fold_2,epiretinal_fibrosis,0.6802965754615655,0.8097339307790863,0.8117111324877643,0.8077663379745292</t>
  </si>
  <si>
    <t>TransUNet_TVERSKY_2_Fold_2,fibrosis,0.32535970167281086,0.49097569703101146,0.4552466407376793,0.5327906267701569</t>
  </si>
  <si>
    <t>TransUNet_TVERSKY_2_Fold_2,geographic_atrophy,0.7473069304687684,0.8553814071672922,0.8375356212349269,0.8740042481803127</t>
  </si>
  <si>
    <t>TransUNet_TVERSKY_2_Fold_2,hard_exudates,0.45845008174175916,0.6286812109390176,0.5705567448167174,0.6999916284639378</t>
  </si>
  <si>
    <t>TransUNet_TVERSKY_2_Fold_2,hemorrhages,0.5662587715076288,0.7230717960641547,0.7057324920563112,0.7412845876912647</t>
  </si>
  <si>
    <t>TransUNet_TVERSKY_2_Fold_2,laser_coagulates,0.6058697502394893,0.7545689806400969,0.6710521115928784,0.8618293357298669</t>
  </si>
  <si>
    <t>TransUNet_TVERSKY_2_Fold_2,macular_hole,0.7169343070215367,0.8351330672228728,0.7430120957771155,0.9533299000925011</t>
  </si>
  <si>
    <t>TransUNet_TVERSKY_2_Fold_2,microaneurysms,0.0,0.0,0.0,0.0</t>
  </si>
  <si>
    <t>TransUNet_TVERSKY_2_Fold_2,neovascularization,0.5642985728460055,0.7214716968249216,0.669710865635012,0.781903726319306</t>
  </si>
  <si>
    <t>TransUNet_TVERSKY_2_Fold_2,soft_exudates,0.27756885975704054,0.43452665214433417,0.5471507357638734,0.36035260886731924</t>
  </si>
  <si>
    <t>TransUNet_TVERSKY_2_Fold_2,subretinal_hemorrhage,0.58265345859768,0.7362994791215302,0.67523595720459,0.8095053685387372</t>
  </si>
  <si>
    <t>TransUNet_TVERSKY_2_Fold_2,venous_anomalies,0.0,0.0,0.0,0.0</t>
  </si>
  <si>
    <t>TransUNet_TVERSKY_2_Fold_2,MEAN,0.4383681440729787,0.5649775492252944,0.547984094487236,0.5926819449275075</t>
  </si>
  <si>
    <t>TransUNet_TVERSKY_3_Fold_3,drusen,0.21260467106935865,0.3506578461088545,0.2704425757837189,0.49852365248948505</t>
  </si>
  <si>
    <t>TransUNet_TVERSKY_3_Fold_3,edema,0.2923664644977183,0.45245133254265824,0.5318745982287642,0.3936663039733882</t>
  </si>
  <si>
    <t>TransUNet_TVERSKY_3_Fold_3,epiretinal_fibrosis,0.6428250649747695,0.7825849248101678,0.7223645923184511,0.8537590287545256</t>
  </si>
  <si>
    <t>TransUNet_TVERSKY_3_Fold_3,fibrosis,0.42902692307614465,0.6004462423319707,0.5587069605059082,0.648925472201991</t>
  </si>
  <si>
    <t>TransUNet_TVERSKY_3_Fold_3,geographic_atrophy,0.7659690068612773,0.8674772930728413,0.8272273481163372,0.911844403433319</t>
  </si>
  <si>
    <t>TransUNet_TVERSKY_3_Fold_3,hard_exudates,0.46496957222268476,0.6347839314057868,0.5774148145922638,0.7048104572817</t>
  </si>
  <si>
    <t>TransUNet_TVERSKY_3_Fold_3,hemorrhages,0.5129100419092395,0.6780443353551477,0.6272859313033132,0.737740441286266</t>
  </si>
  <si>
    <t>TransUNet_TVERSKY_3_Fold_3,laser_coagulates,0.6142691039793988,0.7610491986313058,0.6825095093501308,0.8600153482666558</t>
  </si>
  <si>
    <t>TransUNet_TVERSKY_3_Fold_3,macular_hole,0.778602533327561,0.8755216736039223,0.7996775224085464,0.967259911751479</t>
  </si>
  <si>
    <t>TransUNet_TVERSKY_3_Fold_3,microaneurysms,0.0,0.0,0.0,0.0</t>
  </si>
  <si>
    <t>TransUNet_TVERSKY_3_Fold_3,neovascularization,0.6232912734091975,0.7679352234798579,0.7195371714955504,0.8233135612730872</t>
  </si>
  <si>
    <t>TransUNet_TVERSKY_3_Fold_3,soft_exudates,0.4579914842314886,0.6282498755099344,0.5881256100937666,0.6742498807972258</t>
  </si>
  <si>
    <t>TransUNet_TVERSKY_3_Fold_3,subretinal_hemorrhage,0.5256744898271786,0.6891043841032232,0.6703328301659763,0.7089575592173939</t>
  </si>
  <si>
    <t>TransUNet_TVERSKY_3_Fold_3,venous_anomalies,0.0,0.0,0.0,0.0</t>
  </si>
  <si>
    <t>TransUNet_TVERSKY_3_Fold_3,MEAN,0.4514643306704298,0.5777361614968336,0.5411071045973376,0.6273618586233226</t>
  </si>
  <si>
    <t>TransUNet_DICE_1_Fold_1</t>
  </si>
  <si>
    <t>TransUNet_DICE_2_Fold_2</t>
  </si>
  <si>
    <t>TransUNet_DICE_3_Fold_3</t>
  </si>
  <si>
    <t>TransUNet_TVERSKY_1_Fold_1</t>
  </si>
  <si>
    <t>TransUNet_TVERSKY_2_Fold_2</t>
  </si>
  <si>
    <t>TransUNet_TVERSKY_3_Fold_3</t>
  </si>
  <si>
    <t>TransUNet DICE</t>
  </si>
  <si>
    <t>TransUNet Tversky</t>
  </si>
  <si>
    <t>SegFormer_DICE_1_Fold_1,drusen,0.3981222535799708,0.5695099302804977,0.6072806706108724,0.5361624926540568</t>
  </si>
  <si>
    <t>SegFormer_DICE_1_Fold_1,edema,0.3693010767352592,0.539400841801368,0.5491836839002566,0.5299604316553053</t>
  </si>
  <si>
    <t>SegFormer_DICE_1_Fold_1,epiretinal_fibrosis,0.6690069097813705,0.8016826124093233,0.7848574424782254,0.8192449553820405</t>
  </si>
  <si>
    <t>SegFormer_DICE_1_Fold_1,fibrosis,0.44962429963484757,0.6203321781348525,0.6764049272774826,0.5728444092520355</t>
  </si>
  <si>
    <t>SegFormer_DICE_1_Fold_1,geographic_atrophy,0.7900681781637803,0.882724119451381,0.8260766543923326,0.9477126647348344</t>
  </si>
  <si>
    <t>SegFormer_DICE_1_Fold_1,hard_exudates,0.5171908337886945,0.6817742663224207,0.6872973656883097,0.6763392262103769</t>
  </si>
  <si>
    <t>SegFormer_DICE_1_Fold_1,hemorrhages,0.5724222168494041,0.7280769893932716,0.777408525049771,0.6846326739790031</t>
  </si>
  <si>
    <t>SegFormer_DICE_1_Fold_1,laser_coagulates,0.6543374713070368,0.7910568220280552,0.7067004171619354,0.898281617691991</t>
  </si>
  <si>
    <t>SegFormer_DICE_1_Fold_1,macular_hole,0.8213520470525643,0.901914650033454,0.8488667607934588,0.9620346976585187</t>
  </si>
  <si>
    <t>SegFormer_DICE_1_Fold_1,microaneurysms,0.22171081470340123,0.3629513826596136,0.3962008141109848,0.33485050894325674</t>
  </si>
  <si>
    <t>SegFormer_DICE_1_Fold_1,neovascularization,0.5731261810877366,0.728646167075357,0.697585672395094,0.7626015391346949</t>
  </si>
  <si>
    <t>SegFormer_DICE_1_Fold_1,soft_exudates,0.5337583089282589,0.6960135841757651,0.7386764322399533,0.65800970731862</t>
  </si>
  <si>
    <t>SegFormer_DICE_1_Fold_1,subretinal_hemorrhage,0.5556107131881852,0.7143313021411056,0.7698062319484902,0.666314358726101</t>
  </si>
  <si>
    <t>SegFormer_DICE_1_Fold_1,venous_anomalies,0.20173864728144925,0.33574462756576673,0.46226890533390086,0.2635973138120309</t>
  </si>
  <si>
    <t>SegFormer_DICE_1_Fold_1,MEAN,0.5233835680058542,0.6681542481051596,0.6806153216700762,0.6651847569394904</t>
  </si>
  <si>
    <t>SegFormer_DICE_2_Fold_2,drusen,0.36573631151072183,0.5355884711100041,0.5543677580837317,0.5180397989401991</t>
  </si>
  <si>
    <t>SegFormer_DICE_2_Fold_2,edema,0.41541240322540485,0.5869842630724076,0.6113972729653658,0.5644460106915601</t>
  </si>
  <si>
    <t>SegFormer_DICE_2_Fold_2,epiretinal_fibrosis,0.6191739486365896,0.7648022612492738,0.7195526654665073,0.8161248708163661</t>
  </si>
  <si>
    <t>SegFormer_DICE_2_Fold_2,fibrosis,0.40651324074359446,0.578043958588942,0.6865574755201752,0.49915089937426266</t>
  </si>
  <si>
    <t>SegFormer_DICE_2_Fold_2,geographic_atrophy,0.7340000344176747,0.8465974854079774,0.8219251486504743,0.8727968765502201</t>
  </si>
  <si>
    <t>SegFormer_DICE_2_Fold_2,hard_exudates,0.6235818556331628,0.7681557335339634,0.7761669725012531,0.7603081817205553</t>
  </si>
  <si>
    <t>SegFormer_DICE_2_Fold_2,hemorrhages,0.6134765657437311,0.760440627113725,0.7412038477377656,0.7807025326954993</t>
  </si>
  <si>
    <t>SegFormer_DICE_2_Fold_2,laser_coagulates,0.5665428445490445,0.7233033510961946,0.6149170179586377,0.8780742274135998</t>
  </si>
  <si>
    <t>SegFormer_DICE_2_Fold_2,macular_hole,0.7468262392353847,0.8550664312923112,0.778800033849407,0.9478916469253378</t>
  </si>
  <si>
    <t>SegFormer_DICE_2_Fold_2,microaneurysms,0.2160704502383596,0.35535844193238647,0.3396632663864038,0.37257437549335415</t>
  </si>
  <si>
    <t>SegFormer_DICE_2_Fold_2,neovascularization,0.5968578208683788,0.7475403421248921,0.7399367914472758,0.7553017826255635</t>
  </si>
  <si>
    <t>SegFormer_DICE_2_Fold_2,soft_exudates,0.3343898875441685,0.5011876823490993,0.6653340219406881,0.40200736739379866</t>
  </si>
  <si>
    <t>SegFormer_DICE_2_Fold_2,subretinal_hemorrhage,0.5854036359871628,0.7384916026418182,0.7308579866170474,0.7462863639376294</t>
  </si>
  <si>
    <t>SegFormer_DICE_2_Fold_2,venous_anomalies,0.06617481233283602,0.12413501344689001,0.1441858832612121,0.10897997081831456</t>
  </si>
  <si>
    <t>SegFormer_DICE_2_Fold_2,MEAN,0.492154289333301,0.6346925474971348,0.6374904387418532,0.6444774932425901</t>
  </si>
  <si>
    <t>SegFormer_DICE_3_Fold_3,drusen,0.37128343929180074,0.5415123214549286,0.6024961268701013,0.4917391777099577</t>
  </si>
  <si>
    <t>SegFormer_DICE_3_Fold_3,edema,0.2599032059598248,0.41257646576400964,0.47061180110712003,0.36728346804520934</t>
  </si>
  <si>
    <t>SegFormer_DICE_3_Fold_3,epiretinal_fibrosis,0.567389210657072,0.7239927476841752,0.7272598760534472,0.7207548424037528</t>
  </si>
  <si>
    <t>SegFormer_DICE_3_Fold_3,fibrosis,0.39769785716389744,0.5690755768501725,0.5876064553880233,0.5516777532824181</t>
  </si>
  <si>
    <t>SegFormer_DICE_3_Fold_3,geographic_atrophy,0.7344019808636346,0.8468647856340014,0.831460626677085,0.8628504928600726</t>
  </si>
  <si>
    <t>SegFormer_DICE_3_Fold_3,hard_exudates,0.5877980027066958,0.7403939313498129,0.7977466968441284,0.6907346327671621</t>
  </si>
  <si>
    <t>SegFormer_DICE_3_Fold_3,hemorrhages,0.537897566754418,0.6995232691467197,0.6952342231852128,0.7038655636606846</t>
  </si>
  <si>
    <t>SegFormer_DICE_3_Fold_3,laser_coagulates,0.6711169198610856,0.8031956494305297,0.7920108291365967,0.8147009001496394</t>
  </si>
  <si>
    <t>SegFormer_DICE_3_Fold_3,macular_hole,0.7922081569667965,0.8840581981364941,0.8120425409404373,0.9700902512101329</t>
  </si>
  <si>
    <t>SegFormer_DICE_3_Fold_3,microaneurysms,0.21664400854526095,0.35613376965428334,0.36986840741866484,0.3433826500180571</t>
  </si>
  <si>
    <t>SegFormer_DICE_3_Fold_3,neovascularization,0.591616643116962,0.7434160049474756,0.728696647241832,0.758742271288547</t>
  </si>
  <si>
    <t>SegFormer_DICE_3_Fold_3,soft_exudates,0.5330314057394242,0.6953952851113682,0.7050057721847638,0.6860432905101947</t>
  </si>
  <si>
    <t>SegFormer_DICE_3_Fold_3,subretinal_hemorrhage,0.4684193607936629,0.6379912623060049,0.6917243133092956,0.5920044377358842</t>
  </si>
  <si>
    <t>SegFormer_DICE_3_Fold_3,venous_anomalies,0.2130899427600515,0.35131763152734435,0.5260939697916468,0.26370939859135095</t>
  </si>
  <si>
    <t>SegFormer_DICE_3_Fold_3,MEAN,0.4958926929414706,0.6432462070712371,0.6669898775820254,0.6298270807309331</t>
  </si>
  <si>
    <t>SegFormer_DICE_1_Fold_1</t>
  </si>
  <si>
    <t>SegFormer_DICE_2_Fold_2</t>
  </si>
  <si>
    <t>SegFormer_DICE_3_Fold_3</t>
  </si>
  <si>
    <t>SegFormer DICE</t>
  </si>
  <si>
    <t>SegFormer_TVERSKY_1_Fold_1,drusen,0.3999012491868875,0.5713277981845711,0.623072366316216,0.5275187165365685</t>
  </si>
  <si>
    <t>SegFormer_TVERSKY_1_Fold_1,edema,0.39874914265781647,0.5701510449545486,0.5736634102216689,0.5666814282236381</t>
  </si>
  <si>
    <t>SegFormer_TVERSKY_1_Fold_1,epiretinal_fibrosis,0.6541726703063814,0.7909363781052159,0.7520256478129854,0.8340933943597033</t>
  </si>
  <si>
    <t>SegFormer_TVERSKY_1_Fold_1,fibrosis,0.43778396618585835,0.6089704385106034,0.6398255374885793,0.5809543573338705</t>
  </si>
  <si>
    <t>SegFormer_TVERSKY_1_Fold_1,geographic_atrophy,0.814696907262667,0.8978875800164069,0.8645856974200281,0.9338576617637483</t>
  </si>
  <si>
    <t>SegFormer_TVERSKY_1_Fold_1,hard_exudates,0.5258343778927733,0.6892417493161579,0.6725506752438506,0.7067823709232878</t>
  </si>
  <si>
    <t>SegFormer_TVERSKY_1_Fold_1,hemorrhages,0.5834625909510883,0.7369452164962588,0.7712171872727156,0.7055896548835082</t>
  </si>
  <si>
    <t>SegFormer_TVERSKY_1_Fold_1,laser_coagulates,0.6668867260557192,0.8001584218427894,0.717210965780766,0.9048012154474255</t>
  </si>
  <si>
    <t>SegFormer_TVERSKY_1_Fold_1,macular_hole,0.8438730560592232,0.9153266308503604,0.8779527385059468,0.9560239659277278</t>
  </si>
  <si>
    <t>SegFormer_TVERSKY_1_Fold_1,microaneurysms,0.22321324527498584,0.3649621129221931,0.3233052181170606,0.4189414449026334</t>
  </si>
  <si>
    <t>SegFormer_TVERSKY_1_Fold_1,neovascularization,0.5771122577384485,0.7318594537664903,0.7437802369268592,0.7203147586816203</t>
  </si>
  <si>
    <t>SegFormer_TVERSKY_1_Fold_1,soft_exudates,0.52245565758075,0.6863328399474771,0.7230480176104749,0.6531661475998997</t>
  </si>
  <si>
    <t>SegFormer_TVERSKY_1_Fold_1,subretinal_hemorrhage,0.535109075438257,0.697160982238984,0.7434755876049517,0.6562783072496997</t>
  </si>
  <si>
    <t>SegFormer_TVERSKY_1_Fold_1,venous_anomalies,0.0868307161055791,0.1597870115719917,0.42795553170819994,0.09823211152690547</t>
  </si>
  <si>
    <t>SegFormer_TVERSKY_1_Fold_1,MEAN,0.5192915456211739,0.658646261337432,0.675262058430736,0.6616596810971599</t>
  </si>
  <si>
    <t>SegFormer_TVERSKY_2_Fold_2,drusen,0.36255230957760437,0.532166445323478,0.5178795409155177,0.5472639876270703</t>
  </si>
  <si>
    <t>SegFormer_TVERSKY_2_Fold_2,edema,0.4027157493452426,0.5741943790582256,0.587121647231615,0.5618241130162817</t>
  </si>
  <si>
    <t>SegFormer_TVERSKY_2_Fold_2,epiretinal_fibrosis,0.6319532353370595,0.7744746867167888,0.7185058427424821,0.8398996410717741</t>
  </si>
  <si>
    <t>SegFormer_TVERSKY_2_Fold_2,fibrosis,0.39598914908645066,0.567324107562856,0.6459062628218964,0.505788891829808</t>
  </si>
  <si>
    <t>SegFormer_TVERSKY_2_Fold_2,geographic_atrophy,0.7411620696094463,0.8513418509923016,0.8151316319489854,0.8909187253655099</t>
  </si>
  <si>
    <t>SegFormer_TVERSKY_2_Fold_2,hard_exudates,0.5915065111752839,0.7433290495789081,0.72862164773592,0.7586424280366244</t>
  </si>
  <si>
    <t>SegFormer_TVERSKY_2_Fold_2,hemorrhages,0.6132673594393712,0.7602798827498606,0.7463460859536964,0.7747438473108974</t>
  </si>
  <si>
    <t>SegFormer_TVERSKY_2_Fold_2,laser_coagulates,0.5701107696395402,0.7262045209337987,0.6118776483898457,0.8930712926004294</t>
  </si>
  <si>
    <t>SegFormer_TVERSKY_2_Fold_2,macular_hole,0.7338527105027858,0.8464994818273599,0.7602210760234589,0.9548686785454825</t>
  </si>
  <si>
    <t>SegFormer_TVERSKY_2_Fold_2,microaneurysms,0.21020259850746753,0.3473841466985918,0.2793797529187613,0.45914574654221</t>
  </si>
  <si>
    <t>SegFormer_TVERSKY_2_Fold_2,neovascularization,0.6009560537123017,0.750746470921301,0.7218335910757787,0.7820721942780865</t>
  </si>
  <si>
    <t>SegFormer_TVERSKY_2_Fold_2,soft_exudates,0.33854072065187235,0.5058355198742138,0.6010065560965026,0.4366852181184015</t>
  </si>
  <si>
    <t>SegFormer_TVERSKY_2_Fold_2,subretinal_hemorrhage,0.5551459890145589,0.7139471058486738,0.7148501952083095,0.7130462954038725</t>
  </si>
  <si>
    <t>SegFormer_TVERSKY_2_Fold_2,venous_anomalies,0.10443049746770024,0.18911194087295544,0.20742249759844686,0.17377194145981006</t>
  </si>
  <si>
    <t>SegFormer_TVERSKY_2_Fold_2,MEAN,0.48945612307619174,0.6344885420685223,0.6182931411900869,0.6636959286575898</t>
  </si>
  <si>
    <t>SegFormer_TVERSKY_1_Fold_1</t>
  </si>
  <si>
    <t>SegFormer_TVERSKY_2_Fold_2</t>
  </si>
  <si>
    <t>SegFormer_TVERSKY_3_Fold_3,drusen,0.37988260144632524,0.5506013352848292,0.510885482800802,0.5970126487537553</t>
  </si>
  <si>
    <t>SegFormer_TVERSKY_3_Fold_3,edema,0.27044703059325853,0.425750974390437,0.44946861255712806,0.40441094698206836</t>
  </si>
  <si>
    <t>SegFormer_TVERSKY_3_Fold_3,epiretinal_fibrosis,0.573669661464081,0.7290852400755583,0.708639000465737,0.7507463971851209</t>
  </si>
  <si>
    <t>SegFormer_TVERSKY_3_Fold_3,fibrosis,0.40712980904665874,0.5786670233679326,0.5975457050650766,0.5609447028734734</t>
  </si>
  <si>
    <t>SegFormer_TVERSKY_3_Fold_3,geographic_atrophy,0.7269220194866429,0.8418701149027366,0.7671074401331087,0.9327792468085647</t>
  </si>
  <si>
    <t>SegFormer_TVERSKY_3_Fold_3,hard_exudates,0.5781491385163321,0.732692651671525,0.7381476102063785,0.7273177266757249</t>
  </si>
  <si>
    <t>SegFormer_TVERSKY_3_Fold_3,hemorrhages,0.5534642678990229,0.7125548740783767,0.7018670380527143,0.7235732462040084</t>
  </si>
  <si>
    <t>SegFormer_TVERSKY_3_Fold_3,laser_coagulates,0.6548540335490185,0.7914341933162663,0.7347532170084262,0.8575912486680876</t>
  </si>
  <si>
    <t>SegFormer_TVERSKY_3_Fold_3,macular_hole,0.8212359581011387,0.9018446560404811,0.8345936752809158,0.9808835757361652</t>
  </si>
  <si>
    <t>SegFormer_TVERSKY_3_Fold_3,microaneurysms,0.22614494392346965,0.3688714699582606,0.32535303744483923,0.4258293732481509</t>
  </si>
  <si>
    <t>SegFormer_TVERSKY_3_Fold_3,neovascularization,0.6006918088327619,0.750540242060452,0.6867568258001189,0.8273846465669366</t>
  </si>
  <si>
    <t>SegFormer_TVERSKY_3_Fold_3,soft_exudates,0.5020203455991917,0.6684601138327775,0.6093527317561844,0.7402661315924174</t>
  </si>
  <si>
    <t>SegFormer_TVERSKY_3_Fold_3,subretinal_hemorrhage,0.464995548135682,0.6348081381235924,0.6431468422258207,0.6266828968878667</t>
  </si>
  <si>
    <t>SegFormer_TVERSKY_3_Fold_3,venous_anomalies,0.28217292368548685,0.4401479994982378,0.51889885738136,0.3821507618675812</t>
  </si>
  <si>
    <t>SegFormer_TVERSKY_3_Fold_3,MEAN,0.5029842921627907,0.651952073328676,0.630465434012758,0.6812552535749943</t>
  </si>
  <si>
    <t>SegFormer_TVERSKY_3_Fold_3</t>
  </si>
  <si>
    <t>Metric</t>
  </si>
  <si>
    <t>Model</t>
  </si>
  <si>
    <t>Deeplab Dice</t>
  </si>
  <si>
    <t>DICE</t>
  </si>
  <si>
    <t>Recall</t>
  </si>
  <si>
    <t>Mean</t>
  </si>
  <si>
    <t>TransUNet Dice</t>
  </si>
  <si>
    <t>SegFormer Dice</t>
  </si>
  <si>
    <t>SegFormer Tversky</t>
  </si>
  <si>
    <t>PATCH_SIZE</t>
  </si>
  <si>
    <t>SegFormer</t>
  </si>
  <si>
    <t>Deeplab</t>
  </si>
  <si>
    <t>TransUnet</t>
  </si>
  <si>
    <t>IGNORE_INDEX</t>
  </si>
  <si>
    <t>BATCH_SIZE</t>
  </si>
  <si>
    <t>EPOCHS</t>
  </si>
  <si>
    <t>Encoder lr</t>
  </si>
  <si>
    <t>Decoder lr</t>
  </si>
  <si>
    <t>Segmentation head lr</t>
  </si>
  <si>
    <t>-</t>
  </si>
  <si>
    <t>lr</t>
  </si>
  <si>
    <t>weight decay</t>
  </si>
  <si>
    <t>std</t>
  </si>
  <si>
    <t>SegFormer_TVERSKY_2_Fold_3</t>
  </si>
  <si>
    <t>mean</t>
  </si>
  <si>
    <t>t стьюдент</t>
  </si>
  <si>
    <t>нижняя граница</t>
  </si>
  <si>
    <t>верхняя граница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</si>
</sst>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color rgb="FF098658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2" fontId="0" fillId="0" borderId="1" xfId="0" applyNumberFormat="1" applyBorder="1"/>
    <xf numFmtId="11" fontId="0" fillId="0" borderId="1" xfId="0" applyNumberFormat="1" applyBorder="1"/>
    <xf numFmtId="11" fontId="1" fillId="0" borderId="1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ill="1" applyBorder="1"/>
    <xf numFmtId="2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opLeftCell="A248" workbookViewId="0">
      <selection activeCell="B257" sqref="B257:H271"/>
    </sheetView>
  </sheetViews>
  <sheetFormatPr defaultRowHeight="14.4" x14ac:dyDescent="0.3"/>
  <cols>
    <col min="2" max="2" width="24.88671875" customWidth="1"/>
    <col min="3" max="3" width="22" customWidth="1"/>
    <col min="4" max="4" width="10.77734375" customWidth="1"/>
    <col min="5" max="5" width="13.21875" customWidth="1"/>
    <col min="7" max="7" width="11.77734375" customWidth="1"/>
  </cols>
  <sheetData>
    <row r="1" spans="1:7" x14ac:dyDescent="0.3">
      <c r="A1" t="s">
        <v>0</v>
      </c>
      <c r="B1" t="str" cm="1">
        <f t="array" ref="B1:G1">_xlfn.TEXTSPLIT(A1,",")</f>
        <v>model</v>
      </c>
      <c r="C1" t="str">
        <v>class_name</v>
      </c>
      <c r="D1" t="str">
        <v>iou</v>
      </c>
      <c r="E1" t="str">
        <v>dice</v>
      </c>
      <c r="F1" t="str">
        <v>precision</v>
      </c>
      <c r="G1" t="str">
        <v>recall</v>
      </c>
    </row>
    <row r="2" spans="1:7" x14ac:dyDescent="0.3">
      <c r="A2" t="s">
        <v>1</v>
      </c>
      <c r="B2" s="10" t="s">
        <v>91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7" x14ac:dyDescent="0.3">
      <c r="A3" t="s">
        <v>2</v>
      </c>
      <c r="B3" s="10"/>
      <c r="C3" t="s">
        <v>21</v>
      </c>
      <c r="D3" t="s">
        <v>22</v>
      </c>
      <c r="E3" t="s">
        <v>23</v>
      </c>
      <c r="F3" t="s">
        <v>24</v>
      </c>
      <c r="G3" t="s">
        <v>25</v>
      </c>
    </row>
    <row r="4" spans="1:7" x14ac:dyDescent="0.3">
      <c r="A4" t="s">
        <v>3</v>
      </c>
      <c r="B4" s="10"/>
      <c r="C4" t="s">
        <v>26</v>
      </c>
      <c r="D4" t="s">
        <v>27</v>
      </c>
      <c r="E4" t="s">
        <v>28</v>
      </c>
      <c r="F4" t="s">
        <v>29</v>
      </c>
      <c r="G4" t="s">
        <v>30</v>
      </c>
    </row>
    <row r="5" spans="1:7" x14ac:dyDescent="0.3">
      <c r="A5" t="s">
        <v>4</v>
      </c>
      <c r="B5" s="10"/>
      <c r="C5" t="s">
        <v>31</v>
      </c>
      <c r="D5" t="s">
        <v>32</v>
      </c>
      <c r="E5" t="s">
        <v>33</v>
      </c>
      <c r="F5" t="s">
        <v>34</v>
      </c>
      <c r="G5" t="s">
        <v>35</v>
      </c>
    </row>
    <row r="6" spans="1:7" x14ac:dyDescent="0.3">
      <c r="A6" t="s">
        <v>5</v>
      </c>
      <c r="B6" s="10"/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3">
      <c r="A7" t="s">
        <v>6</v>
      </c>
      <c r="B7" s="10"/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 spans="1:7" x14ac:dyDescent="0.3">
      <c r="A8" t="s">
        <v>7</v>
      </c>
      <c r="B8" s="10"/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3">
      <c r="A9" t="s">
        <v>8</v>
      </c>
      <c r="B9" s="10"/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3">
      <c r="A10" t="s">
        <v>9</v>
      </c>
      <c r="B10" s="10"/>
      <c r="C10" t="s">
        <v>56</v>
      </c>
      <c r="D10" t="s">
        <v>57</v>
      </c>
      <c r="E10" t="s">
        <v>58</v>
      </c>
      <c r="F10" t="s">
        <v>59</v>
      </c>
      <c r="G10" t="s">
        <v>60</v>
      </c>
    </row>
    <row r="11" spans="1:7" x14ac:dyDescent="0.3">
      <c r="A11" t="s">
        <v>10</v>
      </c>
      <c r="B11" s="10"/>
      <c r="C11" t="s">
        <v>61</v>
      </c>
      <c r="D11" t="s">
        <v>62</v>
      </c>
      <c r="E11" t="s">
        <v>63</v>
      </c>
      <c r="F11" t="s">
        <v>64</v>
      </c>
      <c r="G11" t="s">
        <v>65</v>
      </c>
    </row>
    <row r="12" spans="1:7" x14ac:dyDescent="0.3">
      <c r="A12" t="s">
        <v>11</v>
      </c>
      <c r="B12" s="10"/>
      <c r="C12" t="s">
        <v>66</v>
      </c>
      <c r="D12" t="s">
        <v>67</v>
      </c>
      <c r="E12" t="s">
        <v>68</v>
      </c>
      <c r="F12" t="s">
        <v>69</v>
      </c>
      <c r="G12" t="s">
        <v>70</v>
      </c>
    </row>
    <row r="13" spans="1:7" x14ac:dyDescent="0.3">
      <c r="A13" t="s">
        <v>12</v>
      </c>
      <c r="B13" s="10"/>
      <c r="C13" t="s">
        <v>71</v>
      </c>
      <c r="D13" t="s">
        <v>72</v>
      </c>
      <c r="E13" t="s">
        <v>73</v>
      </c>
      <c r="F13" t="s">
        <v>74</v>
      </c>
      <c r="G13" t="s">
        <v>75</v>
      </c>
    </row>
    <row r="14" spans="1:7" x14ac:dyDescent="0.3">
      <c r="A14" t="s">
        <v>13</v>
      </c>
      <c r="B14" s="10"/>
      <c r="C14" t="s">
        <v>76</v>
      </c>
      <c r="D14" t="s">
        <v>77</v>
      </c>
      <c r="E14" t="s">
        <v>78</v>
      </c>
      <c r="F14" t="s">
        <v>79</v>
      </c>
      <c r="G14" t="s">
        <v>80</v>
      </c>
    </row>
    <row r="15" spans="1:7" x14ac:dyDescent="0.3">
      <c r="A15" t="s">
        <v>14</v>
      </c>
      <c r="B15" s="10"/>
      <c r="C15" t="s">
        <v>81</v>
      </c>
      <c r="D15" t="s">
        <v>82</v>
      </c>
      <c r="E15" t="s">
        <v>83</v>
      </c>
      <c r="F15" t="s">
        <v>84</v>
      </c>
      <c r="G15" t="s">
        <v>85</v>
      </c>
    </row>
    <row r="16" spans="1:7" x14ac:dyDescent="0.3">
      <c r="A16" t="s">
        <v>15</v>
      </c>
      <c r="B16" s="10"/>
      <c r="C16" t="s">
        <v>86</v>
      </c>
      <c r="D16" t="s">
        <v>87</v>
      </c>
      <c r="E16" t="s">
        <v>88</v>
      </c>
      <c r="F16" t="s">
        <v>89</v>
      </c>
      <c r="G16" t="s">
        <v>90</v>
      </c>
    </row>
    <row r="17" spans="1:7" x14ac:dyDescent="0.3">
      <c r="A17" t="s">
        <v>92</v>
      </c>
      <c r="B17" s="10" t="s">
        <v>122</v>
      </c>
      <c r="C17" t="s">
        <v>16</v>
      </c>
      <c r="D17" t="s">
        <v>240</v>
      </c>
      <c r="E17" t="s">
        <v>241</v>
      </c>
      <c r="F17" t="s">
        <v>242</v>
      </c>
      <c r="G17" t="s">
        <v>243</v>
      </c>
    </row>
    <row r="18" spans="1:7" x14ac:dyDescent="0.3">
      <c r="A18" t="s">
        <v>93</v>
      </c>
      <c r="B18" s="10"/>
      <c r="C18" t="s">
        <v>21</v>
      </c>
      <c r="D18" t="s">
        <v>123</v>
      </c>
      <c r="E18" t="s">
        <v>124</v>
      </c>
      <c r="F18" t="s">
        <v>125</v>
      </c>
      <c r="G18" t="s">
        <v>126</v>
      </c>
    </row>
    <row r="19" spans="1:7" x14ac:dyDescent="0.3">
      <c r="A19" t="s">
        <v>94</v>
      </c>
      <c r="B19" s="10"/>
      <c r="C19" t="s">
        <v>26</v>
      </c>
      <c r="D19" t="s">
        <v>127</v>
      </c>
      <c r="E19" t="s">
        <v>128</v>
      </c>
      <c r="F19" t="s">
        <v>129</v>
      </c>
      <c r="G19" t="s">
        <v>130</v>
      </c>
    </row>
    <row r="20" spans="1:7" x14ac:dyDescent="0.3">
      <c r="A20" t="s">
        <v>95</v>
      </c>
      <c r="B20" s="10"/>
      <c r="C20" t="s">
        <v>31</v>
      </c>
      <c r="D20" t="s">
        <v>131</v>
      </c>
      <c r="E20" t="s">
        <v>132</v>
      </c>
      <c r="F20" t="s">
        <v>133</v>
      </c>
      <c r="G20" t="s">
        <v>134</v>
      </c>
    </row>
    <row r="21" spans="1:7" x14ac:dyDescent="0.3">
      <c r="A21" t="s">
        <v>96</v>
      </c>
      <c r="B21" s="10"/>
      <c r="C21" t="s">
        <v>36</v>
      </c>
      <c r="D21" t="s">
        <v>135</v>
      </c>
      <c r="E21" t="s">
        <v>136</v>
      </c>
      <c r="F21" t="s">
        <v>137</v>
      </c>
      <c r="G21" t="s">
        <v>138</v>
      </c>
    </row>
    <row r="22" spans="1:7" x14ac:dyDescent="0.3">
      <c r="A22" t="s">
        <v>97</v>
      </c>
      <c r="B22" s="10"/>
      <c r="C22" t="s">
        <v>41</v>
      </c>
      <c r="D22" t="s">
        <v>139</v>
      </c>
      <c r="E22" t="s">
        <v>140</v>
      </c>
      <c r="F22" t="s">
        <v>141</v>
      </c>
      <c r="G22" t="s">
        <v>142</v>
      </c>
    </row>
    <row r="23" spans="1:7" x14ac:dyDescent="0.3">
      <c r="A23" t="s">
        <v>98</v>
      </c>
      <c r="B23" s="10"/>
      <c r="C23" t="s">
        <v>46</v>
      </c>
      <c r="D23" t="s">
        <v>143</v>
      </c>
      <c r="E23" t="s">
        <v>144</v>
      </c>
      <c r="F23" t="s">
        <v>145</v>
      </c>
      <c r="G23" t="s">
        <v>146</v>
      </c>
    </row>
    <row r="24" spans="1:7" x14ac:dyDescent="0.3">
      <c r="A24" t="s">
        <v>99</v>
      </c>
      <c r="B24" s="10"/>
      <c r="C24" t="s">
        <v>51</v>
      </c>
      <c r="D24" t="s">
        <v>147</v>
      </c>
      <c r="E24" t="s">
        <v>148</v>
      </c>
      <c r="F24" t="s">
        <v>149</v>
      </c>
      <c r="G24" t="s">
        <v>150</v>
      </c>
    </row>
    <row r="25" spans="1:7" x14ac:dyDescent="0.3">
      <c r="A25" t="s">
        <v>100</v>
      </c>
      <c r="B25" s="10"/>
      <c r="C25" t="s">
        <v>56</v>
      </c>
      <c r="D25" t="s">
        <v>151</v>
      </c>
      <c r="E25" t="s">
        <v>152</v>
      </c>
      <c r="F25" t="s">
        <v>153</v>
      </c>
      <c r="G25" t="s">
        <v>154</v>
      </c>
    </row>
    <row r="26" spans="1:7" x14ac:dyDescent="0.3">
      <c r="A26" t="s">
        <v>101</v>
      </c>
      <c r="B26" s="10"/>
      <c r="C26" t="s">
        <v>61</v>
      </c>
      <c r="D26" t="s">
        <v>155</v>
      </c>
      <c r="E26" t="s">
        <v>156</v>
      </c>
      <c r="F26" t="s">
        <v>157</v>
      </c>
      <c r="G26" t="s">
        <v>158</v>
      </c>
    </row>
    <row r="27" spans="1:7" x14ac:dyDescent="0.3">
      <c r="A27" t="s">
        <v>102</v>
      </c>
      <c r="B27" s="10"/>
      <c r="C27" t="s">
        <v>66</v>
      </c>
      <c r="D27" t="s">
        <v>159</v>
      </c>
      <c r="E27" t="s">
        <v>160</v>
      </c>
      <c r="F27" t="s">
        <v>161</v>
      </c>
      <c r="G27" t="s">
        <v>162</v>
      </c>
    </row>
    <row r="28" spans="1:7" x14ac:dyDescent="0.3">
      <c r="A28" t="s">
        <v>103</v>
      </c>
      <c r="B28" s="10"/>
      <c r="C28" t="s">
        <v>71</v>
      </c>
      <c r="D28" t="s">
        <v>163</v>
      </c>
      <c r="E28" t="s">
        <v>164</v>
      </c>
      <c r="F28" t="s">
        <v>165</v>
      </c>
      <c r="G28" t="s">
        <v>166</v>
      </c>
    </row>
    <row r="29" spans="1:7" x14ac:dyDescent="0.3">
      <c r="A29" t="s">
        <v>104</v>
      </c>
      <c r="B29" s="10"/>
      <c r="C29" t="s">
        <v>76</v>
      </c>
      <c r="D29" t="s">
        <v>167</v>
      </c>
      <c r="E29" t="s">
        <v>168</v>
      </c>
      <c r="F29" t="s">
        <v>169</v>
      </c>
      <c r="G29" t="s">
        <v>170</v>
      </c>
    </row>
    <row r="30" spans="1:7" x14ac:dyDescent="0.3">
      <c r="A30" t="s">
        <v>105</v>
      </c>
      <c r="B30" s="10"/>
      <c r="C30" t="s">
        <v>81</v>
      </c>
      <c r="D30" t="s">
        <v>171</v>
      </c>
      <c r="E30" t="s">
        <v>172</v>
      </c>
      <c r="F30" t="s">
        <v>173</v>
      </c>
      <c r="G30" t="s">
        <v>174</v>
      </c>
    </row>
    <row r="31" spans="1:7" x14ac:dyDescent="0.3">
      <c r="A31" t="s">
        <v>106</v>
      </c>
      <c r="B31" s="10"/>
      <c r="C31" t="s">
        <v>86</v>
      </c>
      <c r="D31" t="s">
        <v>175</v>
      </c>
      <c r="E31" t="s">
        <v>176</v>
      </c>
      <c r="F31" t="s">
        <v>177</v>
      </c>
      <c r="G31" t="s">
        <v>178</v>
      </c>
    </row>
    <row r="32" spans="1:7" x14ac:dyDescent="0.3">
      <c r="A32" t="s">
        <v>107</v>
      </c>
      <c r="B32" s="10" t="s">
        <v>179</v>
      </c>
      <c r="C32" t="s">
        <v>16</v>
      </c>
      <c r="D32" t="s">
        <v>180</v>
      </c>
      <c r="E32" t="s">
        <v>181</v>
      </c>
      <c r="F32" t="s">
        <v>182</v>
      </c>
      <c r="G32" t="s">
        <v>183</v>
      </c>
    </row>
    <row r="33" spans="1:7" x14ac:dyDescent="0.3">
      <c r="A33" t="s">
        <v>108</v>
      </c>
      <c r="B33" s="10"/>
      <c r="C33" t="s">
        <v>21</v>
      </c>
      <c r="D33" t="s">
        <v>184</v>
      </c>
      <c r="E33" t="s">
        <v>185</v>
      </c>
      <c r="F33" t="s">
        <v>186</v>
      </c>
      <c r="G33" t="s">
        <v>187</v>
      </c>
    </row>
    <row r="34" spans="1:7" x14ac:dyDescent="0.3">
      <c r="A34" t="s">
        <v>109</v>
      </c>
      <c r="B34" s="10"/>
      <c r="C34" t="s">
        <v>26</v>
      </c>
      <c r="D34" t="s">
        <v>188</v>
      </c>
      <c r="E34" t="s">
        <v>189</v>
      </c>
      <c r="F34" t="s">
        <v>190</v>
      </c>
      <c r="G34" t="s">
        <v>191</v>
      </c>
    </row>
    <row r="35" spans="1:7" x14ac:dyDescent="0.3">
      <c r="A35" t="s">
        <v>110</v>
      </c>
      <c r="B35" s="10"/>
      <c r="C35" t="s">
        <v>31</v>
      </c>
      <c r="D35" t="s">
        <v>192</v>
      </c>
      <c r="E35" t="s">
        <v>193</v>
      </c>
      <c r="F35" t="s">
        <v>194</v>
      </c>
      <c r="G35" t="s">
        <v>195</v>
      </c>
    </row>
    <row r="36" spans="1:7" x14ac:dyDescent="0.3">
      <c r="A36" t="s">
        <v>111</v>
      </c>
      <c r="B36" s="10"/>
      <c r="C36" t="s">
        <v>36</v>
      </c>
      <c r="D36" t="s">
        <v>196</v>
      </c>
      <c r="E36" t="s">
        <v>197</v>
      </c>
      <c r="F36" t="s">
        <v>198</v>
      </c>
      <c r="G36" t="s">
        <v>199</v>
      </c>
    </row>
    <row r="37" spans="1:7" x14ac:dyDescent="0.3">
      <c r="A37" t="s">
        <v>112</v>
      </c>
      <c r="B37" s="10"/>
      <c r="C37" t="s">
        <v>41</v>
      </c>
      <c r="D37" t="s">
        <v>200</v>
      </c>
      <c r="E37" t="s">
        <v>201</v>
      </c>
      <c r="F37" t="s">
        <v>202</v>
      </c>
      <c r="G37" t="s">
        <v>203</v>
      </c>
    </row>
    <row r="38" spans="1:7" x14ac:dyDescent="0.3">
      <c r="A38" t="s">
        <v>113</v>
      </c>
      <c r="B38" s="10"/>
      <c r="C38" t="s">
        <v>46</v>
      </c>
      <c r="D38" t="s">
        <v>204</v>
      </c>
      <c r="E38" t="s">
        <v>205</v>
      </c>
      <c r="F38" t="s">
        <v>206</v>
      </c>
      <c r="G38" t="s">
        <v>207</v>
      </c>
    </row>
    <row r="39" spans="1:7" x14ac:dyDescent="0.3">
      <c r="A39" t="s">
        <v>114</v>
      </c>
      <c r="B39" s="10"/>
      <c r="C39" t="s">
        <v>51</v>
      </c>
      <c r="D39" t="s">
        <v>208</v>
      </c>
      <c r="E39" t="s">
        <v>209</v>
      </c>
      <c r="F39" t="s">
        <v>210</v>
      </c>
      <c r="G39" t="s">
        <v>211</v>
      </c>
    </row>
    <row r="40" spans="1:7" x14ac:dyDescent="0.3">
      <c r="A40" t="s">
        <v>115</v>
      </c>
      <c r="B40" s="10"/>
      <c r="C40" t="s">
        <v>56</v>
      </c>
      <c r="D40" t="s">
        <v>212</v>
      </c>
      <c r="E40" t="s">
        <v>213</v>
      </c>
      <c r="F40" t="s">
        <v>214</v>
      </c>
      <c r="G40" t="s">
        <v>215</v>
      </c>
    </row>
    <row r="41" spans="1:7" x14ac:dyDescent="0.3">
      <c r="A41" t="s">
        <v>116</v>
      </c>
      <c r="B41" s="10"/>
      <c r="C41" t="s">
        <v>61</v>
      </c>
      <c r="D41" t="s">
        <v>216</v>
      </c>
      <c r="E41" t="s">
        <v>217</v>
      </c>
      <c r="F41" t="s">
        <v>218</v>
      </c>
      <c r="G41" t="s">
        <v>219</v>
      </c>
    </row>
    <row r="42" spans="1:7" x14ac:dyDescent="0.3">
      <c r="A42" t="s">
        <v>117</v>
      </c>
      <c r="B42" s="10"/>
      <c r="C42" t="s">
        <v>66</v>
      </c>
      <c r="D42" t="s">
        <v>220</v>
      </c>
      <c r="E42" t="s">
        <v>221</v>
      </c>
      <c r="F42" t="s">
        <v>222</v>
      </c>
      <c r="G42" t="s">
        <v>223</v>
      </c>
    </row>
    <row r="43" spans="1:7" x14ac:dyDescent="0.3">
      <c r="A43" t="s">
        <v>118</v>
      </c>
      <c r="B43" s="10"/>
      <c r="C43" t="s">
        <v>71</v>
      </c>
      <c r="D43" t="s">
        <v>224</v>
      </c>
      <c r="E43" t="s">
        <v>225</v>
      </c>
      <c r="F43" t="s">
        <v>226</v>
      </c>
      <c r="G43" t="s">
        <v>227</v>
      </c>
    </row>
    <row r="44" spans="1:7" x14ac:dyDescent="0.3">
      <c r="A44" t="s">
        <v>119</v>
      </c>
      <c r="B44" s="10"/>
      <c r="C44" t="s">
        <v>76</v>
      </c>
      <c r="D44" t="s">
        <v>228</v>
      </c>
      <c r="E44" t="s">
        <v>229</v>
      </c>
      <c r="F44" t="s">
        <v>230</v>
      </c>
      <c r="G44" t="s">
        <v>231</v>
      </c>
    </row>
    <row r="45" spans="1:7" x14ac:dyDescent="0.3">
      <c r="A45" t="s">
        <v>120</v>
      </c>
      <c r="B45" s="10"/>
      <c r="C45" t="s">
        <v>81</v>
      </c>
      <c r="D45" t="s">
        <v>232</v>
      </c>
      <c r="E45" t="s">
        <v>233</v>
      </c>
      <c r="F45" t="s">
        <v>234</v>
      </c>
      <c r="G45" t="s">
        <v>235</v>
      </c>
    </row>
    <row r="46" spans="1:7" x14ac:dyDescent="0.3">
      <c r="A46" t="s">
        <v>121</v>
      </c>
      <c r="B46" s="10"/>
      <c r="C46" t="s">
        <v>86</v>
      </c>
      <c r="D46" t="s">
        <v>236</v>
      </c>
      <c r="E46" t="s">
        <v>237</v>
      </c>
      <c r="F46" t="s">
        <v>238</v>
      </c>
      <c r="G46" t="s">
        <v>239</v>
      </c>
    </row>
    <row r="47" spans="1:7" x14ac:dyDescent="0.3">
      <c r="A47" t="s">
        <v>250</v>
      </c>
      <c r="B47" t="str" cm="1">
        <f t="array" ref="B47:G47">_xlfn.TEXTSPLIT(A47,",")</f>
        <v>Deeplab_TVERSKY_1_Fold_2</v>
      </c>
      <c r="C47" t="str">
        <v>drusen</v>
      </c>
      <c r="D47" t="str">
        <v>0.3425674963390841</v>
      </c>
      <c r="E47" t="str">
        <v>0.5103169818622869</v>
      </c>
      <c r="F47" t="str">
        <v>0.5187938465076949</v>
      </c>
      <c r="G47" t="str">
        <v>0.502112680181943</v>
      </c>
    </row>
    <row r="48" spans="1:7" x14ac:dyDescent="0.3">
      <c r="A48" t="s">
        <v>251</v>
      </c>
      <c r="B48" t="str" cm="1">
        <f t="array" ref="B48:G48">_xlfn.TEXTSPLIT(A48,",")</f>
        <v>Deeplab_TVERSKY_1_Fold_2</v>
      </c>
      <c r="C48" t="str">
        <v>edema</v>
      </c>
      <c r="D48" t="str">
        <v>0.38120064752059374</v>
      </c>
      <c r="E48" t="str">
        <v>0.5519844610627581</v>
      </c>
      <c r="F48" t="str">
        <v>0.5846875673362015</v>
      </c>
      <c r="G48" t="str">
        <v>0.5227459136355913</v>
      </c>
    </row>
    <row r="49" spans="1:7" x14ac:dyDescent="0.3">
      <c r="A49" t="s">
        <v>252</v>
      </c>
      <c r="B49" t="str" cm="1">
        <f t="array" ref="B49:G49">_xlfn.TEXTSPLIT(A49,",")</f>
        <v>Deeplab_TVERSKY_1_Fold_2</v>
      </c>
      <c r="C49" t="str">
        <v>epiretinal_fibrosis</v>
      </c>
      <c r="D49" t="str">
        <v>0.6409633336660325</v>
      </c>
      <c r="E49" t="str">
        <v>0.7812037240759955</v>
      </c>
      <c r="F49" t="str">
        <v>0.745143038060556</v>
      </c>
      <c r="G49" t="str">
        <v>0.820932173284669</v>
      </c>
    </row>
    <row r="50" spans="1:7" x14ac:dyDescent="0.3">
      <c r="A50" t="s">
        <v>253</v>
      </c>
      <c r="B50" t="str" cm="1">
        <f t="array" ref="B50:G50">_xlfn.TEXTSPLIT(A50,",")</f>
        <v>Deeplab_TVERSKY_1_Fold_2</v>
      </c>
      <c r="C50" t="str">
        <v>fibrosis</v>
      </c>
      <c r="D50" t="str">
        <v>0.3574449288673427</v>
      </c>
      <c r="E50" t="str">
        <v>0.5266437278830841</v>
      </c>
      <c r="F50" t="str">
        <v>0.5872720553747234</v>
      </c>
      <c r="G50" t="str">
        <v>0.47736218823611226</v>
      </c>
    </row>
    <row r="51" spans="1:7" x14ac:dyDescent="0.3">
      <c r="A51" t="s">
        <v>254</v>
      </c>
      <c r="B51" t="str" cm="1">
        <f t="array" ref="B51:G51">_xlfn.TEXTSPLIT(A51,",")</f>
        <v>Deeplab_TVERSKY_1_Fold_2</v>
      </c>
      <c r="C51" t="str">
        <v>geographic_atrophy</v>
      </c>
      <c r="D51" t="str">
        <v>0.7303666165567899</v>
      </c>
      <c r="E51" t="str">
        <v>0.8441755747809409</v>
      </c>
      <c r="F51" t="str">
        <v>0.8254855329802061</v>
      </c>
      <c r="G51" t="str">
        <v>0.863731555140654</v>
      </c>
    </row>
    <row r="52" spans="1:7" x14ac:dyDescent="0.3">
      <c r="A52" t="s">
        <v>255</v>
      </c>
      <c r="B52" t="str" cm="1">
        <f t="array" ref="B52:G52">_xlfn.TEXTSPLIT(A52,",")</f>
        <v>Deeplab_TVERSKY_1_Fold_2</v>
      </c>
      <c r="C52" t="str">
        <v>hard_exudates</v>
      </c>
      <c r="D52" t="str">
        <v>0.5804658416086753</v>
      </c>
      <c r="E52" t="str">
        <v>0.7345503158965445</v>
      </c>
      <c r="F52" t="str">
        <v>0.733439257637178</v>
      </c>
      <c r="G52" t="str">
        <v>0.7356647454597933</v>
      </c>
    </row>
    <row r="53" spans="1:7" x14ac:dyDescent="0.3">
      <c r="A53" t="s">
        <v>256</v>
      </c>
      <c r="B53" t="str" cm="1">
        <f t="array" ref="B53:G53">_xlfn.TEXTSPLIT(A53,",")</f>
        <v>Deeplab_TVERSKY_1_Fold_2</v>
      </c>
      <c r="C53" t="str">
        <v>hemorrhages</v>
      </c>
      <c r="D53" t="str">
        <v>0.5406093622636293</v>
      </c>
      <c r="E53" t="str">
        <v>0.7018123808741598</v>
      </c>
      <c r="F53" t="str">
        <v>0.7063945123958123</v>
      </c>
      <c r="G53" t="str">
        <v>0.6972893115719454</v>
      </c>
    </row>
    <row r="54" spans="1:7" x14ac:dyDescent="0.3">
      <c r="A54" t="s">
        <v>257</v>
      </c>
      <c r="B54" t="str" cm="1">
        <f t="array" ref="B54:G54">_xlfn.TEXTSPLIT(A54,",")</f>
        <v>Deeplab_TVERSKY_1_Fold_2</v>
      </c>
      <c r="C54" t="str">
        <v>laser_coagulates</v>
      </c>
      <c r="D54" t="str">
        <v>0.5389543154933164</v>
      </c>
      <c r="E54" t="str">
        <v>0.7004162632606192</v>
      </c>
      <c r="F54" t="str">
        <v>0.5899125153055977</v>
      </c>
      <c r="G54" t="str">
        <v>0.8618622515070996</v>
      </c>
    </row>
    <row r="55" spans="1:7" x14ac:dyDescent="0.3">
      <c r="A55" t="s">
        <v>258</v>
      </c>
      <c r="B55" t="str" cm="1">
        <f t="array" ref="B55:G55">_xlfn.TEXTSPLIT(A55,",")</f>
        <v>Deeplab_TVERSKY_1_Fold_2</v>
      </c>
      <c r="C55" t="str">
        <v>macular_hole</v>
      </c>
      <c r="D55" t="str">
        <v>0.7820271011408995</v>
      </c>
      <c r="E55" t="str">
        <v>0.8776826128404285</v>
      </c>
      <c r="F55" t="str">
        <v>0.805952762526959</v>
      </c>
      <c r="G55" t="str">
        <v>0.9634277474506203</v>
      </c>
    </row>
    <row r="56" spans="1:7" x14ac:dyDescent="0.3">
      <c r="A56" t="s">
        <v>259</v>
      </c>
      <c r="B56" t="str" cm="1">
        <f t="array" ref="B56:G56">_xlfn.TEXTSPLIT(A56,",")</f>
        <v>Deeplab_TVERSKY_1_Fold_2</v>
      </c>
      <c r="C56" t="str">
        <v>microaneurysms</v>
      </c>
      <c r="D56" t="str">
        <v>0.14158069503935616</v>
      </c>
      <c r="E56" t="str">
        <v>0.24804325380515507</v>
      </c>
      <c r="F56" t="str">
        <v>0.23755112456301342</v>
      </c>
      <c r="G56" t="str">
        <v>0.2595050409624603</v>
      </c>
    </row>
    <row r="57" spans="1:7" x14ac:dyDescent="0.3">
      <c r="A57" t="s">
        <v>260</v>
      </c>
      <c r="B57" t="str" cm="1">
        <f t="array" ref="B57:G57">_xlfn.TEXTSPLIT(A57,",")</f>
        <v>Deeplab_TVERSKY_1_Fold_2</v>
      </c>
      <c r="C57" t="str">
        <v>neovascularization</v>
      </c>
      <c r="D57" t="str">
        <v>0.6156706749108222</v>
      </c>
      <c r="E57" t="str">
        <v>0.7621239705236396</v>
      </c>
      <c r="F57" t="str">
        <v>0.7009449404708502</v>
      </c>
      <c r="G57" t="str">
        <v>0.8350037606739735</v>
      </c>
    </row>
    <row r="58" spans="1:7" x14ac:dyDescent="0.3">
      <c r="A58" t="s">
        <v>261</v>
      </c>
      <c r="B58" t="str" cm="1">
        <f t="array" ref="B58:G58">_xlfn.TEXTSPLIT(A58,",")</f>
        <v>Deeplab_TVERSKY_1_Fold_2</v>
      </c>
      <c r="C58" t="str">
        <v>soft_exudates</v>
      </c>
      <c r="D58" t="str">
        <v>0.3455091912660255</v>
      </c>
      <c r="E58" t="str">
        <v>0.5135738849036426</v>
      </c>
      <c r="F58" t="str">
        <v>0.6664586513085814</v>
      </c>
      <c r="G58" t="str">
        <v>0.4177439536102479</v>
      </c>
    </row>
    <row r="59" spans="1:7" x14ac:dyDescent="0.3">
      <c r="A59" t="s">
        <v>262</v>
      </c>
      <c r="B59" t="str" cm="1">
        <f t="array" ref="B59:G59">_xlfn.TEXTSPLIT(A59,",")</f>
        <v>Deeplab_TVERSKY_1_Fold_2</v>
      </c>
      <c r="C59" t="str">
        <v>subretinal_hemorrhage</v>
      </c>
      <c r="D59" t="str">
        <v>0.513429134807789</v>
      </c>
      <c r="E59" t="str">
        <v>0.6784977545354264</v>
      </c>
      <c r="F59" t="str">
        <v>0.6657594123993356</v>
      </c>
      <c r="G59" t="str">
        <v>0.6917330648943297</v>
      </c>
    </row>
    <row r="60" spans="1:7" x14ac:dyDescent="0.3">
      <c r="A60" t="s">
        <v>263</v>
      </c>
      <c r="B60" t="str" cm="1">
        <f t="array" ref="B60:G60">_xlfn.TEXTSPLIT(A60,",")</f>
        <v>Deeplab_TVERSKY_1_Fold_2</v>
      </c>
      <c r="C60" t="str">
        <v>venous_anomalies</v>
      </c>
      <c r="D60" t="str">
        <v>0.20385106298103195</v>
      </c>
      <c r="E60" t="str">
        <v>0.33866492168266477</v>
      </c>
      <c r="F60" t="str">
        <v>0.3185036885850022</v>
      </c>
      <c r="G60" t="str">
        <v>0.3615510456732886</v>
      </c>
    </row>
    <row r="61" spans="1:7" x14ac:dyDescent="0.3">
      <c r="A61" t="s">
        <v>264</v>
      </c>
      <c r="B61" t="str" cm="1">
        <f t="array" ref="B61:G61">_xlfn.TEXTSPLIT(A61,",")</f>
        <v>Deeplab_TVERSKY_1_Fold_2</v>
      </c>
      <c r="C61" t="str">
        <v>MEAN</v>
      </c>
      <c r="D61" t="str">
        <v>0.47961717160438483</v>
      </c>
      <c r="E61" t="str">
        <v>0.6264064162848103</v>
      </c>
      <c r="F61" t="str">
        <v>0.6204499218179794</v>
      </c>
      <c r="G61" t="str">
        <v>0.6436189594487661</v>
      </c>
    </row>
    <row r="62" spans="1:7" x14ac:dyDescent="0.3">
      <c r="A62" t="s">
        <v>265</v>
      </c>
      <c r="B62" t="str" cm="1">
        <f t="array" ref="B62:G62">_xlfn.TEXTSPLIT(A62,",")</f>
        <v>Deeplab_TVERSKY_2_Fold_3</v>
      </c>
      <c r="C62" t="str">
        <v>drusen</v>
      </c>
      <c r="D62" t="str">
        <v>0.3807688124017207</v>
      </c>
      <c r="E62" t="str">
        <v>0.5515315945460968</v>
      </c>
      <c r="F62" t="str">
        <v>0.5718603226464947</v>
      </c>
      <c r="G62" t="str">
        <v>0.5325985598839772</v>
      </c>
    </row>
    <row r="63" spans="1:7" x14ac:dyDescent="0.3">
      <c r="A63" t="s">
        <v>266</v>
      </c>
      <c r="B63" t="str" cm="1">
        <f t="array" ref="B63:G63">_xlfn.TEXTSPLIT(A63,",")</f>
        <v>Deeplab_TVERSKY_2_Fold_3</v>
      </c>
      <c r="C63" t="str">
        <v>edema</v>
      </c>
      <c r="D63" t="str">
        <v>0.28826615048698107</v>
      </c>
      <c r="E63" t="str">
        <v>0.4475257700095788</v>
      </c>
      <c r="F63" t="str">
        <v>0.5376330066679861</v>
      </c>
      <c r="G63" t="str">
        <v>0.383286921381193</v>
      </c>
    </row>
    <row r="64" spans="1:7" x14ac:dyDescent="0.3">
      <c r="A64" t="s">
        <v>267</v>
      </c>
      <c r="B64" t="str" cm="1">
        <f t="array" ref="B64:G64">_xlfn.TEXTSPLIT(A64,",")</f>
        <v>Deeplab_TVERSKY_2_Fold_3</v>
      </c>
      <c r="C64" t="str">
        <v>epiretinal_fibrosis</v>
      </c>
      <c r="D64" t="str">
        <v>0.6163962639012817</v>
      </c>
      <c r="E64" t="str">
        <v>0.7626796444252693</v>
      </c>
      <c r="F64" t="str">
        <v>0.6977862994683831</v>
      </c>
      <c r="G64" t="str">
        <v>0.8408805991119593</v>
      </c>
    </row>
    <row r="65" spans="1:7" x14ac:dyDescent="0.3">
      <c r="A65" t="s">
        <v>268</v>
      </c>
      <c r="B65" t="str" cm="1">
        <f t="array" ref="B65:G65">_xlfn.TEXTSPLIT(A65,",")</f>
        <v>Deeplab_TVERSKY_2_Fold_3</v>
      </c>
      <c r="C65" t="str">
        <v>fibrosis</v>
      </c>
      <c r="D65" t="str">
        <v>0.4447708433029288</v>
      </c>
      <c r="E65" t="str">
        <v>0.6156974240788614</v>
      </c>
      <c r="F65" t="str">
        <v>0.6073625256848619</v>
      </c>
      <c r="G65" t="str">
        <v>0.624264266804212</v>
      </c>
    </row>
    <row r="66" spans="1:7" x14ac:dyDescent="0.3">
      <c r="A66" t="s">
        <v>269</v>
      </c>
      <c r="B66" t="str" cm="1">
        <f t="array" ref="B66:G66">_xlfn.TEXTSPLIT(A66,",")</f>
        <v>Deeplab_TVERSKY_2_Fold_3</v>
      </c>
      <c r="C66" t="str">
        <v>geographic_atrophy</v>
      </c>
      <c r="D66" t="str">
        <v>0.7398764808297295</v>
      </c>
      <c r="E66" t="str">
        <v>0.8504931114154608</v>
      </c>
      <c r="F66" t="str">
        <v>0.7920493630268552</v>
      </c>
      <c r="G66" t="str">
        <v>0.9182488706653593</v>
      </c>
    </row>
    <row r="67" spans="1:7" x14ac:dyDescent="0.3">
      <c r="A67" t="s">
        <v>270</v>
      </c>
      <c r="B67" t="str" cm="1">
        <f t="array" ref="B67:G67">_xlfn.TEXTSPLIT(A67,",")</f>
        <v>Deeplab_TVERSKY_2_Fold_3</v>
      </c>
      <c r="C67" t="str">
        <v>hard_exudates</v>
      </c>
      <c r="D67" t="str">
        <v>0.5735483617490933</v>
      </c>
      <c r="E67" t="str">
        <v>0.7289872693986473</v>
      </c>
      <c r="F67" t="str">
        <v>0.7683466664197762</v>
      </c>
      <c r="G67" t="str">
        <v>0.6934638275695917</v>
      </c>
    </row>
    <row r="68" spans="1:7" x14ac:dyDescent="0.3">
      <c r="A68" t="s">
        <v>271</v>
      </c>
      <c r="B68" t="str" cm="1">
        <f t="array" ref="B68:G68">_xlfn.TEXTSPLIT(A68,",")</f>
        <v>Deeplab_TVERSKY_2_Fold_3</v>
      </c>
      <c r="C68" t="str">
        <v>hemorrhages</v>
      </c>
      <c r="D68" t="str">
        <v>0.5200570205778495</v>
      </c>
      <c r="E68" t="str">
        <v>0.6842598843826924</v>
      </c>
      <c r="F68" t="str">
        <v>0.6780194056684787</v>
      </c>
      <c r="G68" t="str">
        <v>0.6906163047348993</v>
      </c>
    </row>
    <row r="69" spans="1:7" x14ac:dyDescent="0.3">
      <c r="A69" t="s">
        <v>272</v>
      </c>
      <c r="B69" t="str" cm="1">
        <f t="array" ref="B69:G69">_xlfn.TEXTSPLIT(A69,",")</f>
        <v>Deeplab_TVERSKY_2_Fold_3</v>
      </c>
      <c r="C69" t="str">
        <v>laser_coagulates</v>
      </c>
      <c r="D69" t="str">
        <v>0.6039018599539585</v>
      </c>
      <c r="E69" t="str">
        <v>0.7530409123302519</v>
      </c>
      <c r="F69" t="str">
        <v>0.7130286871943761</v>
      </c>
      <c r="G69" t="str">
        <v>0.7978107570804295</v>
      </c>
    </row>
    <row r="70" spans="1:7" x14ac:dyDescent="0.3">
      <c r="A70" t="s">
        <v>273</v>
      </c>
      <c r="B70" t="str" cm="1">
        <f t="array" ref="B70:G70">_xlfn.TEXTSPLIT(A70,",")</f>
        <v>Deeplab_TVERSKY_2_Fold_3</v>
      </c>
      <c r="C70" t="str">
        <v>macular_hole</v>
      </c>
      <c r="D70" t="str">
        <v>0.8069221297539</v>
      </c>
      <c r="E70" t="str">
        <v>0.8931454393818306</v>
      </c>
      <c r="F70" t="str">
        <v>0.8141924975516761</v>
      </c>
      <c r="G70" t="str">
        <v>0.9890549417644022</v>
      </c>
    </row>
    <row r="71" spans="1:7" x14ac:dyDescent="0.3">
      <c r="A71" t="s">
        <v>274</v>
      </c>
      <c r="B71" t="str" cm="1">
        <f t="array" ref="B71:G71">_xlfn.TEXTSPLIT(A71,",")</f>
        <v>Deeplab_TVERSKY_2_Fold_3</v>
      </c>
      <c r="C71" t="str">
        <v>microaneurysms</v>
      </c>
      <c r="D71" t="str">
        <v>0.12520947055792786</v>
      </c>
      <c r="E71" t="str">
        <v>0.22255317580262374</v>
      </c>
      <c r="F71" t="str">
        <v>0.26171546484687597</v>
      </c>
      <c r="G71" t="str">
        <v>0.19358562441067292</v>
      </c>
    </row>
    <row r="72" spans="1:7" x14ac:dyDescent="0.3">
      <c r="A72" t="s">
        <v>275</v>
      </c>
      <c r="B72" t="str" cm="1">
        <f t="array" ref="B72:G72">_xlfn.TEXTSPLIT(A72,",")</f>
        <v>Deeplab_TVERSKY_2_Fold_3</v>
      </c>
      <c r="C72" t="str">
        <v>neovascularization</v>
      </c>
      <c r="D72" t="str">
        <v>0.6462370565448473</v>
      </c>
      <c r="E72" t="str">
        <v>0.7851081397732372</v>
      </c>
      <c r="F72" t="str">
        <v>0.7209606557083512</v>
      </c>
      <c r="G72" t="str">
        <v>0.8617855178460372</v>
      </c>
    </row>
    <row r="73" spans="1:7" x14ac:dyDescent="0.3">
      <c r="A73" t="s">
        <v>276</v>
      </c>
      <c r="B73" t="str" cm="1">
        <f t="array" ref="B73:G73">_xlfn.TEXTSPLIT(A73,",")</f>
        <v>Deeplab_TVERSKY_2_Fold_3</v>
      </c>
      <c r="C73" t="str">
        <v>soft_exudates</v>
      </c>
      <c r="D73" t="str">
        <v>0.4991055936174937</v>
      </c>
      <c r="E73" t="str">
        <v>0.6658711644362574</v>
      </c>
      <c r="F73" t="str">
        <v>0.6486812600478785</v>
      </c>
      <c r="G73" t="str">
        <v>0.6839969258564711</v>
      </c>
    </row>
    <row r="74" spans="1:7" x14ac:dyDescent="0.3">
      <c r="A74" t="s">
        <v>277</v>
      </c>
      <c r="B74" t="str" cm="1">
        <f t="array" ref="B74:G74">_xlfn.TEXTSPLIT(A74,",")</f>
        <v>Deeplab_TVERSKY_2_Fold_3</v>
      </c>
      <c r="C74" t="str">
        <v>subretinal_hemorrhage</v>
      </c>
      <c r="D74" t="str">
        <v>0.45535743056222977</v>
      </c>
      <c r="E74" t="str">
        <v>0.62576714283352</v>
      </c>
      <c r="F74" t="str">
        <v>0.6233215333647896</v>
      </c>
      <c r="G74" t="str">
        <v>0.6282320186498123</v>
      </c>
    </row>
    <row r="75" spans="1:7" x14ac:dyDescent="0.3">
      <c r="A75" t="s">
        <v>278</v>
      </c>
      <c r="B75" t="str" cm="1">
        <f t="array" ref="B75:G75">_xlfn.TEXTSPLIT(A75,",")</f>
        <v>Deeplab_TVERSKY_2_Fold_3</v>
      </c>
      <c r="C75" t="str">
        <v>venous_anomalies</v>
      </c>
      <c r="D75" t="str">
        <v>0.34038821547678316</v>
      </c>
      <c r="E75" t="str">
        <v>0.5078949688552808</v>
      </c>
      <c r="F75" t="str">
        <v>0.5225746440582746</v>
      </c>
      <c r="G75" t="str">
        <v>0.4940174942351529</v>
      </c>
    </row>
    <row r="76" spans="1:7" x14ac:dyDescent="0.3">
      <c r="A76" t="s">
        <v>279</v>
      </c>
      <c r="B76" t="str" cm="1">
        <f t="array" ref="B76:G76">_xlfn.TEXTSPLIT(A76,",")</f>
        <v>Deeplab_TVERSKY_2_Fold_3</v>
      </c>
      <c r="C76" t="str">
        <v>MEAN</v>
      </c>
      <c r="D76" t="str">
        <v>0.5029146921226232</v>
      </c>
      <c r="E76" t="str">
        <v>0.649611117262115</v>
      </c>
      <c r="F76" t="str">
        <v>0.6398237380253613</v>
      </c>
      <c r="G76" t="str">
        <v>0.6665601878567264</v>
      </c>
    </row>
    <row r="77" spans="1:7" x14ac:dyDescent="0.3">
      <c r="A77" t="s">
        <v>280</v>
      </c>
      <c r="B77" t="str" cm="1">
        <f t="array" ref="B77:G77">_xlfn.TEXTSPLIT(A77,",")</f>
        <v>Deeplab_TVERSKY_3_Fold_1</v>
      </c>
      <c r="C77" t="str">
        <v>drusen</v>
      </c>
      <c r="D77" t="str">
        <v>0.3684293820361427</v>
      </c>
      <c r="E77" t="str">
        <v>0.5384704346057543</v>
      </c>
      <c r="F77" t="str">
        <v>0.5201188880886478</v>
      </c>
      <c r="G77" t="str">
        <v>0.5581643533008027</v>
      </c>
    </row>
    <row r="78" spans="1:7" x14ac:dyDescent="0.3">
      <c r="A78" t="s">
        <v>281</v>
      </c>
      <c r="B78" t="str" cm="1">
        <f t="array" ref="B78:G78">_xlfn.TEXTSPLIT(A78,",")</f>
        <v>Deeplab_TVERSKY_3_Fold_1</v>
      </c>
      <c r="C78" t="str">
        <v>edema</v>
      </c>
      <c r="D78" t="str">
        <v>0.41650001275612514</v>
      </c>
      <c r="E78" t="str">
        <v>0.5880691973249319</v>
      </c>
      <c r="F78" t="str">
        <v>0.6062428205778808</v>
      </c>
      <c r="G78" t="str">
        <v>0.5709534596718977</v>
      </c>
    </row>
    <row r="79" spans="1:7" x14ac:dyDescent="0.3">
      <c r="A79" t="s">
        <v>282</v>
      </c>
      <c r="B79" t="str" cm="1">
        <f t="array" ref="B79:G79">_xlfn.TEXTSPLIT(A79,",")</f>
        <v>Deeplab_TVERSKY_3_Fold_1</v>
      </c>
      <c r="C79" t="str">
        <v>epiretinal_fibrosis</v>
      </c>
      <c r="D79" t="str">
        <v>0.6275894462025496</v>
      </c>
      <c r="E79" t="str">
        <v>0.7711888863212101</v>
      </c>
      <c r="F79" t="str">
        <v>0.7490729639101212</v>
      </c>
      <c r="G79" t="str">
        <v>0.7946504564010587</v>
      </c>
    </row>
    <row r="80" spans="1:7" x14ac:dyDescent="0.3">
      <c r="A80" t="s">
        <v>283</v>
      </c>
      <c r="B80" t="str" cm="1">
        <f t="array" ref="B80:G80">_xlfn.TEXTSPLIT(A80,",")</f>
        <v>Deeplab_TVERSKY_3_Fold_1</v>
      </c>
      <c r="C80" t="str">
        <v>fibrosis</v>
      </c>
      <c r="D80" t="str">
        <v>0.3971015403907574</v>
      </c>
      <c r="E80" t="str">
        <v>0.5684648236515314</v>
      </c>
      <c r="F80" t="str">
        <v>0.5739224235183331</v>
      </c>
      <c r="G80" t="str">
        <v>0.5631100419527791</v>
      </c>
    </row>
    <row r="81" spans="1:7" x14ac:dyDescent="0.3">
      <c r="A81" t="s">
        <v>284</v>
      </c>
      <c r="B81" t="str" cm="1">
        <f t="array" ref="B81:G81">_xlfn.TEXTSPLIT(A81,",")</f>
        <v>Deeplab_TVERSKY_3_Fold_1</v>
      </c>
      <c r="C81" t="str">
        <v>geographic_atrophy</v>
      </c>
      <c r="D81" t="str">
        <v>0.7991647219849086</v>
      </c>
      <c r="E81" t="str">
        <v>0.8883730458023199</v>
      </c>
      <c r="F81" t="str">
        <v>0.8308156028333379</v>
      </c>
      <c r="G81" t="str">
        <v>0.9544990611138338</v>
      </c>
    </row>
    <row r="82" spans="1:7" x14ac:dyDescent="0.3">
      <c r="A82" t="s">
        <v>285</v>
      </c>
      <c r="B82" t="str" cm="1">
        <f t="array" ref="B82:G82">_xlfn.TEXTSPLIT(A82,",")</f>
        <v>Deeplab_TVERSKY_3_Fold_1</v>
      </c>
      <c r="C82" t="str">
        <v>hard_exudates</v>
      </c>
      <c r="D82" t="str">
        <v>0.48091135571277377</v>
      </c>
      <c r="E82" t="str">
        <v>0.6494802728841356</v>
      </c>
      <c r="F82" t="str">
        <v>0.6878065877316693</v>
      </c>
      <c r="G82" t="str">
        <v>0.615199791532289</v>
      </c>
    </row>
    <row r="83" spans="1:7" x14ac:dyDescent="0.3">
      <c r="A83" t="s">
        <v>286</v>
      </c>
      <c r="B83" t="str" cm="1">
        <f t="array" ref="B83:G83">_xlfn.TEXTSPLIT(A83,",")</f>
        <v>Deeplab_TVERSKY_3_Fold_1</v>
      </c>
      <c r="C83" t="str">
        <v>hemorrhages</v>
      </c>
      <c r="D83" t="str">
        <v>0.582338408774168</v>
      </c>
      <c r="E83" t="str">
        <v>0.7360478713593301</v>
      </c>
      <c r="F83" t="str">
        <v>0.77185433857516</v>
      </c>
      <c r="G83" t="str">
        <v>0.7034162594423673</v>
      </c>
    </row>
    <row r="84" spans="1:7" x14ac:dyDescent="0.3">
      <c r="A84" t="s">
        <v>287</v>
      </c>
      <c r="B84" t="str" cm="1">
        <f t="array" ref="B84:G84">_xlfn.TEXTSPLIT(A84,",")</f>
        <v>Deeplab_TVERSKY_3_Fold_1</v>
      </c>
      <c r="C84" t="str">
        <v>laser_coagulates</v>
      </c>
      <c r="D84" t="str">
        <v>0.643288723463459</v>
      </c>
      <c r="E84" t="str">
        <v>0.7829284218632483</v>
      </c>
      <c r="F84" t="str">
        <v>0.7108752700678214</v>
      </c>
      <c r="G84" t="str">
        <v>0.8712354150181105</v>
      </c>
    </row>
    <row r="85" spans="1:7" x14ac:dyDescent="0.3">
      <c r="A85" t="s">
        <v>288</v>
      </c>
      <c r="B85" t="str" cm="1">
        <f t="array" ref="B85:G85">_xlfn.TEXTSPLIT(A85,",")</f>
        <v>Deeplab_TVERSKY_3_Fold_1</v>
      </c>
      <c r="C85" t="str">
        <v>macular_hole</v>
      </c>
      <c r="D85" t="str">
        <v>0.7687007446901396</v>
      </c>
      <c r="E85" t="str">
        <v>0.8692264612856361</v>
      </c>
      <c r="F85" t="str">
        <v>0.7807264470014121</v>
      </c>
      <c r="G85" t="str">
        <v>0.9803556389708654</v>
      </c>
    </row>
    <row r="86" spans="1:7" x14ac:dyDescent="0.3">
      <c r="A86" t="s">
        <v>289</v>
      </c>
      <c r="B86" t="str" cm="1">
        <f t="array" ref="B86:G86">_xlfn.TEXTSPLIT(A86,",")</f>
        <v>Deeplab_TVERSKY_3_Fold_1</v>
      </c>
      <c r="C86" t="str">
        <v>microaneurysms</v>
      </c>
      <c r="D86" t="str">
        <v>0.11284045129749536</v>
      </c>
      <c r="E86" t="str">
        <v>0.20279717755753965</v>
      </c>
      <c r="F86" t="str">
        <v>0.2603924331035393</v>
      </c>
      <c r="G86" t="str">
        <v>0.16606570749632563</v>
      </c>
    </row>
    <row r="87" spans="1:7" x14ac:dyDescent="0.3">
      <c r="A87" t="s">
        <v>290</v>
      </c>
      <c r="B87" t="str" cm="1">
        <f t="array" ref="B87:G87">_xlfn.TEXTSPLIT(A87,",")</f>
        <v>Deeplab_TVERSKY_3_Fold_1</v>
      </c>
      <c r="C87" t="str">
        <v>neovascularization</v>
      </c>
      <c r="D87" t="str">
        <v>0.5817155776002738</v>
      </c>
      <c r="E87" t="str">
        <v>0.7355501657040431</v>
      </c>
      <c r="F87" t="str">
        <v>0.6773527011326</v>
      </c>
      <c r="G87" t="str">
        <v>0.8046881656454155</v>
      </c>
    </row>
    <row r="88" spans="1:7" x14ac:dyDescent="0.3">
      <c r="A88" t="s">
        <v>291</v>
      </c>
      <c r="B88" t="str" cm="1">
        <f t="array" ref="B88:G88">_xlfn.TEXTSPLIT(A88,",")</f>
        <v>Deeplab_TVERSKY_3_Fold_1</v>
      </c>
      <c r="C88" t="str">
        <v>soft_exudates</v>
      </c>
      <c r="D88" t="str">
        <v>0.527657007718683</v>
      </c>
      <c r="E88" t="str">
        <v>0.6908055997552177</v>
      </c>
      <c r="F88" t="str">
        <v>0.7771912442594842</v>
      </c>
      <c r="G88" t="str">
        <v>0.6217026770873036</v>
      </c>
    </row>
    <row r="89" spans="1:7" x14ac:dyDescent="0.3">
      <c r="A89" t="s">
        <v>292</v>
      </c>
      <c r="B89" t="str" cm="1">
        <f t="array" ref="B89:G89">_xlfn.TEXTSPLIT(A89,",")</f>
        <v>Deeplab_TVERSKY_3_Fold_1</v>
      </c>
      <c r="C89" t="str">
        <v>subretinal_hemorrhage</v>
      </c>
      <c r="D89" t="str">
        <v>0.5435281678781153</v>
      </c>
      <c r="E89" t="str">
        <v>0.7042672484886392</v>
      </c>
      <c r="F89" t="str">
        <v>0.7216593775851909</v>
      </c>
      <c r="G89" t="str">
        <v>0.6876936987516415</v>
      </c>
    </row>
    <row r="90" spans="1:7" x14ac:dyDescent="0.3">
      <c r="A90" t="s">
        <v>293</v>
      </c>
      <c r="B90" t="str" cm="1">
        <f t="array" ref="B90:G90">_xlfn.TEXTSPLIT(A90,",")</f>
        <v>Deeplab_TVERSKY_3_Fold_1</v>
      </c>
      <c r="C90" t="str">
        <v>venous_anomalies</v>
      </c>
      <c r="D90" t="str">
        <v>0.0</v>
      </c>
      <c r="E90" t="str">
        <v>0.0</v>
      </c>
      <c r="F90" t="str">
        <v>0.0</v>
      </c>
      <c r="G90" t="str">
        <v>0.0</v>
      </c>
    </row>
    <row r="91" spans="1:7" x14ac:dyDescent="0.3">
      <c r="A91" t="s">
        <v>294</v>
      </c>
      <c r="B91" t="str" cm="1">
        <f t="array" ref="B91:G91">_xlfn.TEXTSPLIT(A91,",")</f>
        <v>Deeplab_TVERSKY_3_Fold_1</v>
      </c>
      <c r="C91" t="str">
        <v>MEAN</v>
      </c>
      <c r="D91" t="str">
        <v>0.4892689671789708</v>
      </c>
      <c r="E91" t="str">
        <v>0.6232621147573955</v>
      </c>
      <c r="F91" t="str">
        <v>0.6191450784560856</v>
      </c>
      <c r="G91" t="str">
        <v>0.635123909027478</v>
      </c>
    </row>
    <row r="92" spans="1:7" x14ac:dyDescent="0.3">
      <c r="A92" t="s">
        <v>300</v>
      </c>
      <c r="B92" t="str" cm="1">
        <f t="array" ref="B92:G92">_xlfn.TEXTSPLIT(A92,",")</f>
        <v>TransUNet_DICE_1_Fold_1</v>
      </c>
      <c r="C92" t="str">
        <v>drusen</v>
      </c>
      <c r="D92" t="str">
        <v>0.23212999981496318</v>
      </c>
      <c r="E92" t="str">
        <v>0.37679465616424185</v>
      </c>
      <c r="F92" t="str">
        <v>0.34554295221533726</v>
      </c>
      <c r="G92" t="str">
        <v>0.4142614170394462</v>
      </c>
    </row>
    <row r="93" spans="1:7" x14ac:dyDescent="0.3">
      <c r="A93" t="s">
        <v>301</v>
      </c>
      <c r="B93" t="str" cm="1">
        <f t="array" ref="B93:G93">_xlfn.TEXTSPLIT(A93,",")</f>
        <v>TransUNet_DICE_1_Fold_1</v>
      </c>
      <c r="C93" t="str">
        <v>edema</v>
      </c>
      <c r="D93" t="str">
        <v>0.41678663948761485</v>
      </c>
      <c r="E93" t="str">
        <v>0.5883548416836384</v>
      </c>
      <c r="F93" t="str">
        <v>0.6293462480241142</v>
      </c>
      <c r="G93" t="str">
        <v>0.5523767159871148</v>
      </c>
    </row>
    <row r="94" spans="1:7" x14ac:dyDescent="0.3">
      <c r="A94" t="s">
        <v>302</v>
      </c>
      <c r="B94" t="str" cm="1">
        <f t="array" ref="B94:G94">_xlfn.TEXTSPLIT(A94,",")</f>
        <v>TransUNet_DICE_1_Fold_1</v>
      </c>
      <c r="C94" t="str">
        <v>epiretinal_fibrosis</v>
      </c>
      <c r="D94" t="str">
        <v>0.5917930397561068</v>
      </c>
      <c r="E94" t="str">
        <v>0.7435552549554819</v>
      </c>
      <c r="F94" t="str">
        <v>0.7492787482393027</v>
      </c>
      <c r="G94" t="str">
        <v>0.7379185385673204</v>
      </c>
    </row>
    <row r="95" spans="1:7" x14ac:dyDescent="0.3">
      <c r="A95" t="s">
        <v>303</v>
      </c>
      <c r="B95" t="str" cm="1">
        <f t="array" ref="B95:G95">_xlfn.TEXTSPLIT(A95,",")</f>
        <v>TransUNet_DICE_1_Fold_1</v>
      </c>
      <c r="C95" t="str">
        <v>fibrosis</v>
      </c>
      <c r="D95" t="str">
        <v>0.42834265329105925</v>
      </c>
      <c r="E95" t="str">
        <v>0.5997757643155309</v>
      </c>
      <c r="F95" t="str">
        <v>0.6619206121943563</v>
      </c>
      <c r="G95" t="str">
        <v>0.5482984108300717</v>
      </c>
    </row>
    <row r="96" spans="1:7" x14ac:dyDescent="0.3">
      <c r="A96" t="s">
        <v>304</v>
      </c>
      <c r="B96" t="str" cm="1">
        <f t="array" ref="B96:G96">_xlfn.TEXTSPLIT(A96,",")</f>
        <v>TransUNet_DICE_1_Fold_1</v>
      </c>
      <c r="C96" t="str">
        <v>geographic_atrophy</v>
      </c>
      <c r="D96" t="str">
        <v>0.8241537937130494</v>
      </c>
      <c r="E96" t="str">
        <v>0.9036012166885244</v>
      </c>
      <c r="F96" t="str">
        <v>0.8959814220186795</v>
      </c>
      <c r="G96" t="str">
        <v>0.9113517267540386</v>
      </c>
    </row>
    <row r="97" spans="1:7" x14ac:dyDescent="0.3">
      <c r="A97" t="s">
        <v>305</v>
      </c>
      <c r="B97" t="str" cm="1">
        <f t="array" ref="B97:G97">_xlfn.TEXTSPLIT(A97,",")</f>
        <v>TransUNet_DICE_1_Fold_1</v>
      </c>
      <c r="C97" t="str">
        <v>hard_exudates</v>
      </c>
      <c r="D97" t="str">
        <v>0.3993885519954344</v>
      </c>
      <c r="E97" t="str">
        <v>0.5708043722752097</v>
      </c>
      <c r="F97" t="str">
        <v>0.5606258405849294</v>
      </c>
      <c r="G97" t="str">
        <v>0.5813593342093761</v>
      </c>
    </row>
    <row r="98" spans="1:7" x14ac:dyDescent="0.3">
      <c r="A98" t="s">
        <v>306</v>
      </c>
      <c r="B98" t="str" cm="1">
        <f t="array" ref="B98:G98">_xlfn.TEXTSPLIT(A98,",")</f>
        <v>TransUNet_DICE_1_Fold_1</v>
      </c>
      <c r="C98" t="str">
        <v>hemorrhages</v>
      </c>
      <c r="D98" t="str">
        <v>0.5953191604289844</v>
      </c>
      <c r="E98" t="str">
        <v>0.746332364326273</v>
      </c>
      <c r="F98" t="str">
        <v>0.7344956215020728</v>
      </c>
      <c r="G98" t="str">
        <v>0.7585568654270772</v>
      </c>
    </row>
    <row r="99" spans="1:7" x14ac:dyDescent="0.3">
      <c r="A99" t="s">
        <v>307</v>
      </c>
      <c r="B99" t="str" cm="1">
        <f t="array" ref="B99:G99">_xlfn.TEXTSPLIT(A99,",")</f>
        <v>TransUNet_DICE_1_Fold_1</v>
      </c>
      <c r="C99" t="str">
        <v>laser_coagulates</v>
      </c>
      <c r="D99" t="str">
        <v>0.5933578977562355</v>
      </c>
      <c r="E99" t="str">
        <v>0.7447892260637755</v>
      </c>
      <c r="F99" t="str">
        <v>0.6870756169260339</v>
      </c>
      <c r="G99" t="str">
        <v>0.8130877152498183</v>
      </c>
    </row>
    <row r="100" spans="1:7" x14ac:dyDescent="0.3">
      <c r="A100" t="s">
        <v>308</v>
      </c>
      <c r="B100" t="str" cm="1">
        <f t="array" ref="B100:G100">_xlfn.TEXTSPLIT(A100,",")</f>
        <v>TransUNet_DICE_1_Fold_1</v>
      </c>
      <c r="C100" t="str">
        <v>macular_hole</v>
      </c>
      <c r="D100" t="str">
        <v>0.7149395296731403</v>
      </c>
      <c r="E100" t="str">
        <v>0.8337781213888101</v>
      </c>
      <c r="F100" t="str">
        <v>0.7308067228107504</v>
      </c>
      <c r="G100" t="str">
        <v>0.9705262398034191</v>
      </c>
    </row>
    <row r="101" spans="1:7" x14ac:dyDescent="0.3">
      <c r="A101" t="s">
        <v>309</v>
      </c>
      <c r="B101" t="str" cm="1">
        <f t="array" ref="B101:G101">_xlfn.TEXTSPLIT(A101,",")</f>
        <v>TransUNet_DICE_1_Fold_1</v>
      </c>
      <c r="C101" t="str">
        <v>microaneurysms</v>
      </c>
      <c r="D101" t="str">
        <v>0.0</v>
      </c>
      <c r="E101" t="str">
        <v>0.0</v>
      </c>
      <c r="F101" t="str">
        <v>0.0</v>
      </c>
      <c r="G101" t="str">
        <v>0.0</v>
      </c>
    </row>
    <row r="102" spans="1:7" x14ac:dyDescent="0.3">
      <c r="A102" t="s">
        <v>310</v>
      </c>
      <c r="B102" t="str" cm="1">
        <f t="array" ref="B102:G102">_xlfn.TEXTSPLIT(A102,",")</f>
        <v>TransUNet_DICE_1_Fold_1</v>
      </c>
      <c r="C102" t="str">
        <v>neovascularization</v>
      </c>
      <c r="D102" t="str">
        <v>0.582395446116372</v>
      </c>
      <c r="E102" t="str">
        <v>0.7360934304326121</v>
      </c>
      <c r="F102" t="str">
        <v>0.7202068687065007</v>
      </c>
      <c r="G102" t="str">
        <v>0.752696662801238</v>
      </c>
    </row>
    <row r="103" spans="1:7" x14ac:dyDescent="0.3">
      <c r="A103" t="s">
        <v>311</v>
      </c>
      <c r="B103" t="str" cm="1">
        <f t="array" ref="B103:G103">_xlfn.TEXTSPLIT(A103,",")</f>
        <v>TransUNet_DICE_1_Fold_1</v>
      </c>
      <c r="C103" t="str">
        <v>soft_exudates</v>
      </c>
      <c r="D103" t="str">
        <v>0.3733316794126075</v>
      </c>
      <c r="E103" t="str">
        <v>0.5436875665349634</v>
      </c>
      <c r="F103" t="str">
        <v>0.48365896127088154</v>
      </c>
      <c r="G103" t="str">
        <v>0.6207283306250105</v>
      </c>
    </row>
    <row r="104" spans="1:7" x14ac:dyDescent="0.3">
      <c r="A104" t="s">
        <v>312</v>
      </c>
      <c r="B104" t="str" cm="1">
        <f t="array" ref="B104:G104">_xlfn.TEXTSPLIT(A104,",")</f>
        <v>TransUNet_DICE_1_Fold_1</v>
      </c>
      <c r="C104" t="str">
        <v>subretinal_hemorrhage</v>
      </c>
      <c r="D104" t="str">
        <v>0.5711178039534691</v>
      </c>
      <c r="E104" t="str">
        <v>0.7270209815156338</v>
      </c>
      <c r="F104" t="str">
        <v>0.7319243232304312</v>
      </c>
      <c r="G104" t="str">
        <v>0.7221828999996946</v>
      </c>
    </row>
    <row r="105" spans="1:7" x14ac:dyDescent="0.3">
      <c r="A105" t="s">
        <v>313</v>
      </c>
      <c r="B105" t="str" cm="1">
        <f t="array" ref="B105:G105">_xlfn.TEXTSPLIT(A105,",")</f>
        <v>TransUNet_DICE_1_Fold_1</v>
      </c>
      <c r="C105" t="str">
        <v>venous_anomalies</v>
      </c>
      <c r="D105" t="str">
        <v>0.0</v>
      </c>
      <c r="E105" t="str">
        <v>0.0</v>
      </c>
      <c r="F105" t="str">
        <v>0.0</v>
      </c>
      <c r="G105" t="str">
        <v>0.0</v>
      </c>
    </row>
    <row r="106" spans="1:7" x14ac:dyDescent="0.3">
      <c r="A106" t="s">
        <v>314</v>
      </c>
      <c r="B106" t="str" cm="1">
        <f t="array" ref="B106:G106">_xlfn.TEXTSPLIT(A106,",")</f>
        <v>TransUNet_DICE_1_Fold_1</v>
      </c>
      <c r="C106" t="str">
        <v>MEAN</v>
      </c>
      <c r="D106" t="str">
        <v>0.4516468710999312</v>
      </c>
      <c r="E106" t="str">
        <v>0.5796134140246211</v>
      </c>
      <c r="F106" t="str">
        <v>0.5664902812659565</v>
      </c>
      <c r="G106" t="str">
        <v>0.5988103469495448</v>
      </c>
    </row>
    <row r="107" spans="1:7" x14ac:dyDescent="0.3">
      <c r="A107" t="s">
        <v>315</v>
      </c>
      <c r="B107" t="str" cm="1">
        <f t="array" ref="B107:G107">_xlfn.TEXTSPLIT(A107,",")</f>
        <v>TransUNet_DICE_2_Fold_2</v>
      </c>
      <c r="C107" t="str">
        <v>drusen</v>
      </c>
      <c r="D107" t="str">
        <v>0.1848870082688525</v>
      </c>
      <c r="E107" t="str">
        <v>0.3120753404815818</v>
      </c>
      <c r="F107" t="str">
        <v>0.2812661344187824</v>
      </c>
      <c r="G107" t="str">
        <v>0.35046435026112466</v>
      </c>
    </row>
    <row r="108" spans="1:7" x14ac:dyDescent="0.3">
      <c r="A108" t="s">
        <v>316</v>
      </c>
      <c r="B108" t="str" cm="1">
        <f t="array" ref="B108:G108">_xlfn.TEXTSPLIT(A108,",")</f>
        <v>TransUNet_DICE_2_Fold_2</v>
      </c>
      <c r="C108" t="str">
        <v>edema</v>
      </c>
      <c r="D108" t="str">
        <v>0.33951918690615124</v>
      </c>
      <c r="E108" t="str">
        <v>0.5069269484527936</v>
      </c>
      <c r="F108" t="str">
        <v>0.5329206505393211</v>
      </c>
      <c r="G108" t="str">
        <v>0.4833510498990907</v>
      </c>
    </row>
    <row r="109" spans="1:7" x14ac:dyDescent="0.3">
      <c r="A109" t="s">
        <v>317</v>
      </c>
      <c r="B109" t="str" cm="1">
        <f t="array" ref="B109:G109">_xlfn.TEXTSPLIT(A109,",")</f>
        <v>TransUNet_DICE_2_Fold_2</v>
      </c>
      <c r="C109" t="str">
        <v>epiretinal_fibrosis</v>
      </c>
      <c r="D109" t="str">
        <v>0.6281179003371706</v>
      </c>
      <c r="E109" t="str">
        <v>0.7715877335506136</v>
      </c>
      <c r="F109" t="str">
        <v>0.7884748903562409</v>
      </c>
      <c r="G109" t="str">
        <v>0.7554087701990485</v>
      </c>
    </row>
    <row r="110" spans="1:7" x14ac:dyDescent="0.3">
      <c r="A110" t="s">
        <v>318</v>
      </c>
      <c r="B110" t="str" cm="1">
        <f t="array" ref="B110:G110">_xlfn.TEXTSPLIT(A110,",")</f>
        <v>TransUNet_DICE_2_Fold_2</v>
      </c>
      <c r="C110" t="str">
        <v>fibrosis</v>
      </c>
      <c r="D110" t="str">
        <v>0.3311720426832589</v>
      </c>
      <c r="E110" t="str">
        <v>0.49756460031373795</v>
      </c>
      <c r="F110" t="str">
        <v>0.5001984249067041</v>
      </c>
      <c r="G110" t="str">
        <v>0.4949583675547959</v>
      </c>
    </row>
    <row r="111" spans="1:7" x14ac:dyDescent="0.3">
      <c r="A111" t="s">
        <v>319</v>
      </c>
      <c r="B111" t="str" cm="1">
        <f t="array" ref="B111:G111">_xlfn.TEXTSPLIT(A111,",")</f>
        <v>TransUNet_DICE_2_Fold_2</v>
      </c>
      <c r="C111" t="str">
        <v>geographic_atrophy</v>
      </c>
      <c r="D111" t="str">
        <v>0.7205336360931476</v>
      </c>
      <c r="E111" t="str">
        <v>0.8375699503664209</v>
      </c>
      <c r="F111" t="str">
        <v>0.8608227222729457</v>
      </c>
      <c r="G111" t="str">
        <v>0.8155403577130133</v>
      </c>
    </row>
    <row r="112" spans="1:7" x14ac:dyDescent="0.3">
      <c r="A112" t="s">
        <v>320</v>
      </c>
      <c r="B112" t="str" cm="1">
        <f t="array" ref="B112:G112">_xlfn.TEXTSPLIT(A112,",")</f>
        <v>TransUNet_DICE_2_Fold_2</v>
      </c>
      <c r="C112" t="str">
        <v>hard_exudates</v>
      </c>
      <c r="D112" t="str">
        <v>0.4534897531029233</v>
      </c>
      <c r="E112" t="str">
        <v>0.624001307384258</v>
      </c>
      <c r="F112" t="str">
        <v>0.6087840304707669</v>
      </c>
      <c r="G112" t="str">
        <v>0.639998835264538</v>
      </c>
    </row>
    <row r="113" spans="1:7" x14ac:dyDescent="0.3">
      <c r="A113" t="s">
        <v>321</v>
      </c>
      <c r="B113" t="str" cm="1">
        <f t="array" ref="B113:G113">_xlfn.TEXTSPLIT(A113,",")</f>
        <v>TransUNet_DICE_2_Fold_2</v>
      </c>
      <c r="C113" t="str">
        <v>hemorrhages</v>
      </c>
      <c r="D113" t="str">
        <v>0.544517736168519</v>
      </c>
      <c r="E113" t="str">
        <v>0.7050974209196234</v>
      </c>
      <c r="F113" t="str">
        <v>0.6866349011465338</v>
      </c>
      <c r="G113" t="str">
        <v>0.7245802302044364</v>
      </c>
    </row>
    <row r="114" spans="1:7" x14ac:dyDescent="0.3">
      <c r="A114" t="s">
        <v>322</v>
      </c>
      <c r="B114" t="str" cm="1">
        <f t="array" ref="B114:G114">_xlfn.TEXTSPLIT(A114,",")</f>
        <v>TransUNet_DICE_2_Fold_2</v>
      </c>
      <c r="C114" t="str">
        <v>laser_coagulates</v>
      </c>
      <c r="D114" t="str">
        <v>0.4845809169361145</v>
      </c>
      <c r="E114" t="str">
        <v>0.6528184639961492</v>
      </c>
      <c r="F114" t="str">
        <v>0.5470367751050591</v>
      </c>
      <c r="G114" t="str">
        <v>0.8093180530508719</v>
      </c>
    </row>
    <row r="115" spans="1:7" x14ac:dyDescent="0.3">
      <c r="A115" t="s">
        <v>323</v>
      </c>
      <c r="B115" t="str" cm="1">
        <f t="array" ref="B115:G115">_xlfn.TEXTSPLIT(A115,",")</f>
        <v>TransUNet_DICE_2_Fold_2</v>
      </c>
      <c r="C115" t="str">
        <v>macular_hole</v>
      </c>
      <c r="D115" t="str">
        <v>0.7279322391990747</v>
      </c>
      <c r="E115" t="str">
        <v>0.8425472049025297</v>
      </c>
      <c r="F115" t="str">
        <v>0.7617411340077911</v>
      </c>
      <c r="G115" t="str">
        <v>0.9425316716446714</v>
      </c>
    </row>
    <row r="116" spans="1:7" x14ac:dyDescent="0.3">
      <c r="A116" t="s">
        <v>324</v>
      </c>
      <c r="B116" t="str" cm="1">
        <f t="array" ref="B116:G116">_xlfn.TEXTSPLIT(A116,",")</f>
        <v>TransUNet_DICE_2_Fold_2</v>
      </c>
      <c r="C116" t="str">
        <v>microaneurysms</v>
      </c>
      <c r="D116" t="str">
        <v>0.0</v>
      </c>
      <c r="E116" t="str">
        <v>0.0</v>
      </c>
      <c r="F116" t="str">
        <v>0.0</v>
      </c>
      <c r="G116" t="str">
        <v>0.0</v>
      </c>
    </row>
    <row r="117" spans="1:7" x14ac:dyDescent="0.3">
      <c r="A117" t="s">
        <v>325</v>
      </c>
      <c r="B117" t="str" cm="1">
        <f t="array" ref="B117:G117">_xlfn.TEXTSPLIT(A117,",")</f>
        <v>TransUNet_DICE_2_Fold_2</v>
      </c>
      <c r="C117" t="str">
        <v>neovascularization</v>
      </c>
      <c r="D117" t="str">
        <v>0.5438208448155831</v>
      </c>
      <c r="E117" t="str">
        <v>0.7045128929847363</v>
      </c>
      <c r="F117" t="str">
        <v>0.6605061860150535</v>
      </c>
      <c r="G117" t="str">
        <v>0.7548021365149022</v>
      </c>
    </row>
    <row r="118" spans="1:7" x14ac:dyDescent="0.3">
      <c r="A118" t="s">
        <v>326</v>
      </c>
      <c r="B118" t="str" cm="1">
        <f t="array" ref="B118:G118">_xlfn.TEXTSPLIT(A118,",")</f>
        <v>TransUNet_DICE_2_Fold_2</v>
      </c>
      <c r="C118" t="str">
        <v>soft_exudates</v>
      </c>
      <c r="D118" t="str">
        <v>0.24056409764176656</v>
      </c>
      <c r="E118" t="str">
        <v>0.38783017838266254</v>
      </c>
      <c r="F118" t="str">
        <v>0.4359462490236518</v>
      </c>
      <c r="G118" t="str">
        <v>0.3492796374673902</v>
      </c>
    </row>
    <row r="119" spans="1:7" x14ac:dyDescent="0.3">
      <c r="A119" t="s">
        <v>327</v>
      </c>
      <c r="B119" t="str" cm="1">
        <f t="array" ref="B119:G119">_xlfn.TEXTSPLIT(A119,",")</f>
        <v>TransUNet_DICE_2_Fold_2</v>
      </c>
      <c r="C119" t="str">
        <v>subretinal_hemorrhage</v>
      </c>
      <c r="D119" t="str">
        <v>0.5431463808755829</v>
      </c>
      <c r="E119" t="str">
        <v>0.703946673636238</v>
      </c>
      <c r="F119" t="str">
        <v>0.6931205893076275</v>
      </c>
      <c r="G119" t="str">
        <v>0.7151163166511124</v>
      </c>
    </row>
    <row r="120" spans="1:7" x14ac:dyDescent="0.3">
      <c r="A120" t="s">
        <v>328</v>
      </c>
      <c r="B120" t="str" cm="1">
        <f t="array" ref="B120:G120">_xlfn.TEXTSPLIT(A120,",")</f>
        <v>TransUNet_DICE_2_Fold_2</v>
      </c>
      <c r="C120" t="str">
        <v>venous_anomalies</v>
      </c>
      <c r="D120" t="str">
        <v>0.0</v>
      </c>
      <c r="E120" t="str">
        <v>0.0</v>
      </c>
      <c r="F120" t="str">
        <v>0.0</v>
      </c>
      <c r="G120" t="str">
        <v>0.0</v>
      </c>
    </row>
    <row r="121" spans="1:7" x14ac:dyDescent="0.3">
      <c r="A121" t="s">
        <v>329</v>
      </c>
      <c r="B121" t="str" cm="1">
        <f t="array" ref="B121:G121">_xlfn.TEXTSPLIT(A121,",")</f>
        <v>TransUNet_DICE_2_Fold_2</v>
      </c>
      <c r="C121" t="str">
        <v>MEAN</v>
      </c>
      <c r="D121" t="str">
        <v>0.4101629816448675</v>
      </c>
      <c r="E121" t="str">
        <v>0.539034193955096</v>
      </c>
      <c r="F121" t="str">
        <v>0.5255323348264627</v>
      </c>
      <c r="G121" t="str">
        <v>0.559667841173214</v>
      </c>
    </row>
    <row r="122" spans="1:7" x14ac:dyDescent="0.3">
      <c r="A122" t="s">
        <v>330</v>
      </c>
      <c r="B122" t="str" cm="1">
        <f t="array" ref="B122:G122">_xlfn.TEXTSPLIT(A122,",")</f>
        <v>TransUNet_DICE_3_Fold_3</v>
      </c>
      <c r="C122" t="str">
        <v>drusen</v>
      </c>
      <c r="D122" t="str">
        <v>0.18924188081997487</v>
      </c>
      <c r="E122" t="str">
        <v>0.3182563343455308</v>
      </c>
      <c r="F122" t="str">
        <v>0.3501570521246846</v>
      </c>
      <c r="G122" t="str">
        <v>0.2916828517385825</v>
      </c>
    </row>
    <row r="123" spans="1:7" x14ac:dyDescent="0.3">
      <c r="A123" t="s">
        <v>331</v>
      </c>
      <c r="B123" t="str" cm="1">
        <f t="array" ref="B123:G123">_xlfn.TEXTSPLIT(A123,",")</f>
        <v>TransUNet_DICE_3_Fold_3</v>
      </c>
      <c r="C123" t="str">
        <v>edema</v>
      </c>
      <c r="D123" t="str">
        <v>0.2822989154219523</v>
      </c>
      <c r="E123" t="str">
        <v>0.440301262095444</v>
      </c>
      <c r="F123" t="str">
        <v>0.523845516251553</v>
      </c>
      <c r="G123" t="str">
        <v>0.3797394246429138</v>
      </c>
    </row>
    <row r="124" spans="1:7" x14ac:dyDescent="0.3">
      <c r="A124" t="s">
        <v>332</v>
      </c>
      <c r="B124" t="str" cm="1">
        <f t="array" ref="B124:G124">_xlfn.TEXTSPLIT(A124,",")</f>
        <v>TransUNet_DICE_3_Fold_3</v>
      </c>
      <c r="C124" t="str">
        <v>epiretinal_fibrosis</v>
      </c>
      <c r="D124" t="str">
        <v>0.5937256633669873</v>
      </c>
      <c r="E124" t="str">
        <v>0.7450788765146088</v>
      </c>
      <c r="F124" t="str">
        <v>0.7862946450194488</v>
      </c>
      <c r="G124" t="str">
        <v>0.7079687713239181</v>
      </c>
    </row>
    <row r="125" spans="1:7" x14ac:dyDescent="0.3">
      <c r="A125" t="s">
        <v>333</v>
      </c>
      <c r="B125" t="str" cm="1">
        <f t="array" ref="B125:G125">_xlfn.TEXTSPLIT(A125,",")</f>
        <v>TransUNet_DICE_3_Fold_3</v>
      </c>
      <c r="C125" t="str">
        <v>fibrosis</v>
      </c>
      <c r="D125" t="str">
        <v>0.38478964723184633</v>
      </c>
      <c r="E125" t="str">
        <v>0.5557373251613045</v>
      </c>
      <c r="F125" t="str">
        <v>0.5350197797727418</v>
      </c>
      <c r="G125" t="str">
        <v>0.5781239929383379</v>
      </c>
    </row>
    <row r="126" spans="1:7" x14ac:dyDescent="0.3">
      <c r="A126" t="s">
        <v>334</v>
      </c>
      <c r="B126" t="str" cm="1">
        <f t="array" ref="B126:G126">_xlfn.TEXTSPLIT(A126,",")</f>
        <v>TransUNet_DICE_3_Fold_3</v>
      </c>
      <c r="C126" t="str">
        <v>geographic_atrophy</v>
      </c>
      <c r="D126" t="str">
        <v>0.7304301791341224</v>
      </c>
      <c r="E126" t="str">
        <v>0.8442180308015863</v>
      </c>
      <c r="F126" t="str">
        <v>0.7939650606950046</v>
      </c>
      <c r="G126" t="str">
        <v>0.9012622337965097</v>
      </c>
    </row>
    <row r="127" spans="1:7" x14ac:dyDescent="0.3">
      <c r="A127" t="s">
        <v>335</v>
      </c>
      <c r="B127" t="str" cm="1">
        <f t="array" ref="B127:G127">_xlfn.TEXTSPLIT(A127,",")</f>
        <v>TransUNet_DICE_3_Fold_3</v>
      </c>
      <c r="C127" t="str">
        <v>hard_exudates</v>
      </c>
      <c r="D127" t="str">
        <v>0.4619802537421038</v>
      </c>
      <c r="E127" t="str">
        <v>0.6319924671480522</v>
      </c>
      <c r="F127" t="str">
        <v>0.638168906675592</v>
      </c>
      <c r="G127" t="str">
        <v>0.6259344374312111</v>
      </c>
    </row>
    <row r="128" spans="1:7" x14ac:dyDescent="0.3">
      <c r="A128" t="s">
        <v>336</v>
      </c>
      <c r="B128" t="str" cm="1">
        <f t="array" ref="B128:G128">_xlfn.TEXTSPLIT(A128,",")</f>
        <v>TransUNet_DICE_3_Fold_3</v>
      </c>
      <c r="C128" t="str">
        <v>hemorrhages</v>
      </c>
      <c r="D128" t="str">
        <v>0.52328604394686</v>
      </c>
      <c r="E128" t="str">
        <v>0.6870489571230062</v>
      </c>
      <c r="F128" t="str">
        <v>0.7094952114789346</v>
      </c>
      <c r="G128" t="str">
        <v>0.665979409397666</v>
      </c>
    </row>
    <row r="129" spans="1:7" x14ac:dyDescent="0.3">
      <c r="A129" t="s">
        <v>337</v>
      </c>
      <c r="B129" t="str" cm="1">
        <f t="array" ref="B129:G129">_xlfn.TEXTSPLIT(A129,",")</f>
        <v>TransUNet_DICE_3_Fold_3</v>
      </c>
      <c r="C129" t="str">
        <v>laser_coagulates</v>
      </c>
      <c r="D129" t="str">
        <v>0.5784206176826306</v>
      </c>
      <c r="E129" t="str">
        <v>0.7329106211648995</v>
      </c>
      <c r="F129" t="str">
        <v>0.6621254296057498</v>
      </c>
      <c r="G129" t="str">
        <v>0.8206422101503844</v>
      </c>
    </row>
    <row r="130" spans="1:7" x14ac:dyDescent="0.3">
      <c r="A130" t="s">
        <v>338</v>
      </c>
      <c r="B130" t="str" cm="1">
        <f t="array" ref="B130:G130">_xlfn.TEXTSPLIT(A130,",")</f>
        <v>TransUNet_DICE_3_Fold_3</v>
      </c>
      <c r="C130" t="str">
        <v>macular_hole</v>
      </c>
      <c r="D130" t="str">
        <v>0.7570273777189118</v>
      </c>
      <c r="E130" t="str">
        <v>0.8617138097207506</v>
      </c>
      <c r="F130" t="str">
        <v>0.7883255785846764</v>
      </c>
      <c r="G130" t="str">
        <v>0.9501686267288134</v>
      </c>
    </row>
    <row r="131" spans="1:7" x14ac:dyDescent="0.3">
      <c r="A131" t="s">
        <v>339</v>
      </c>
      <c r="B131" t="str" cm="1">
        <f t="array" ref="B131:G131">_xlfn.TEXTSPLIT(A131,",")</f>
        <v>TransUNet_DICE_3_Fold_3</v>
      </c>
      <c r="C131" t="str">
        <v>microaneurysms</v>
      </c>
      <c r="D131" t="str">
        <v>0.0</v>
      </c>
      <c r="E131" t="str">
        <v>0.0</v>
      </c>
      <c r="F131" t="str">
        <v>0.0</v>
      </c>
      <c r="G131" t="str">
        <v>0.0</v>
      </c>
    </row>
    <row r="132" spans="1:7" x14ac:dyDescent="0.3">
      <c r="A132" t="s">
        <v>340</v>
      </c>
      <c r="B132" t="str" cm="1">
        <f t="array" ref="B132:G132">_xlfn.TEXTSPLIT(A132,",")</f>
        <v>TransUNet_DICE_3_Fold_3</v>
      </c>
      <c r="C132" t="str">
        <v>neovascularization</v>
      </c>
      <c r="D132" t="str">
        <v>0.5432580266299357</v>
      </c>
      <c r="E132" t="str">
        <v>0.7040404355663926</v>
      </c>
      <c r="F132" t="str">
        <v>0.6428526771877275</v>
      </c>
      <c r="G132" t="str">
        <v>0.7781013848642054</v>
      </c>
    </row>
    <row r="133" spans="1:7" x14ac:dyDescent="0.3">
      <c r="A133" t="s">
        <v>341</v>
      </c>
      <c r="B133" t="str" cm="1">
        <f t="array" ref="B133:G133">_xlfn.TEXTSPLIT(A133,",")</f>
        <v>TransUNet_DICE_3_Fold_3</v>
      </c>
      <c r="C133" t="str">
        <v>soft_exudates</v>
      </c>
      <c r="D133" t="str">
        <v>0.420013491664061</v>
      </c>
      <c r="E133" t="str">
        <v>0.5915626775797218</v>
      </c>
      <c r="F133" t="str">
        <v>0.5824166230137597</v>
      </c>
      <c r="G133" t="str">
        <v>0.601000567515288</v>
      </c>
    </row>
    <row r="134" spans="1:7" x14ac:dyDescent="0.3">
      <c r="A134" t="s">
        <v>342</v>
      </c>
      <c r="B134" t="str" cm="1">
        <f t="array" ref="B134:G134">_xlfn.TEXTSPLIT(A134,",")</f>
        <v>TransUNet_DICE_3_Fold_3</v>
      </c>
      <c r="C134" t="str">
        <v>subretinal_hemorrhage</v>
      </c>
      <c r="D134" t="str">
        <v>0.44385121076425826</v>
      </c>
      <c r="E134" t="str">
        <v>0.6148157198681424</v>
      </c>
      <c r="F134" t="str">
        <v>0.5188494857031954</v>
      </c>
      <c r="G134" t="str">
        <v>0.754337796295935</v>
      </c>
    </row>
    <row r="135" spans="1:7" x14ac:dyDescent="0.3">
      <c r="A135" t="s">
        <v>343</v>
      </c>
      <c r="B135" t="str" cm="1">
        <f t="array" ref="B135:G135">_xlfn.TEXTSPLIT(A135,",")</f>
        <v>TransUNet_DICE_3_Fold_3</v>
      </c>
      <c r="C135" t="str">
        <v>venous_anomalies</v>
      </c>
      <c r="D135" t="str">
        <v>0.0</v>
      </c>
      <c r="E135" t="str">
        <v>0.0</v>
      </c>
      <c r="F135" t="str">
        <v>0.0</v>
      </c>
      <c r="G135" t="str">
        <v>0.0</v>
      </c>
    </row>
    <row r="136" spans="1:7" x14ac:dyDescent="0.3">
      <c r="A136" t="s">
        <v>344</v>
      </c>
      <c r="B136" t="str" cm="1">
        <f t="array" ref="B136:G136">_xlfn.TEXTSPLIT(A136,",")</f>
        <v>TransUNet_DICE_3_Fold_3</v>
      </c>
      <c r="C136" t="str">
        <v>MEAN</v>
      </c>
      <c r="D136" t="str">
        <v>0.4220230934374031</v>
      </c>
      <c r="E136" t="str">
        <v>0.5519768940778171</v>
      </c>
      <c r="F136" t="str">
        <v>0.5379654261509336</v>
      </c>
      <c r="G136" t="str">
        <v>0.5753529790588404</v>
      </c>
    </row>
    <row r="137" spans="1:7" x14ac:dyDescent="0.3">
      <c r="A137" t="s">
        <v>345</v>
      </c>
      <c r="B137" t="str" cm="1">
        <f t="array" ref="B137:G137">_xlfn.TEXTSPLIT(A137,",")</f>
        <v>TransUNet_TVERSKY_1_Fold_1</v>
      </c>
      <c r="C137" t="str">
        <v>drusen</v>
      </c>
      <c r="D137" t="str">
        <v>0.2496919864124048</v>
      </c>
      <c r="E137" t="str">
        <v>0.3996056454346266</v>
      </c>
      <c r="F137" t="str">
        <v>0.3810593447526431</v>
      </c>
      <c r="G137" t="str">
        <v>0.4200496172465673</v>
      </c>
    </row>
    <row r="138" spans="1:7" x14ac:dyDescent="0.3">
      <c r="A138" t="s">
        <v>346</v>
      </c>
      <c r="B138" t="str" cm="1">
        <f t="array" ref="B138:G138">_xlfn.TEXTSPLIT(A138,",")</f>
        <v>TransUNet_TVERSKY_1_Fold_1</v>
      </c>
      <c r="C138" t="str">
        <v>edema</v>
      </c>
      <c r="D138" t="str">
        <v>0.4137564545469185</v>
      </c>
      <c r="E138" t="str">
        <v>0.5853291820047173</v>
      </c>
      <c r="F138" t="str">
        <v>0.5815687876734621</v>
      </c>
      <c r="G138" t="str">
        <v>0.5891385218538594</v>
      </c>
    </row>
    <row r="139" spans="1:7" x14ac:dyDescent="0.3">
      <c r="A139" t="s">
        <v>347</v>
      </c>
      <c r="B139" t="str" cm="1">
        <f t="array" ref="B139:G139">_xlfn.TEXTSPLIT(A139,",")</f>
        <v>TransUNet_TVERSKY_1_Fold_1</v>
      </c>
      <c r="C139" t="str">
        <v>epiretinal_fibrosis</v>
      </c>
      <c r="D139" t="str">
        <v>0.6327211807196673</v>
      </c>
      <c r="E139" t="str">
        <v>0.7750511087763041</v>
      </c>
      <c r="F139" t="str">
        <v>0.7560742739095191</v>
      </c>
      <c r="G139" t="str">
        <v>0.7950050743248249</v>
      </c>
    </row>
    <row r="140" spans="1:7" x14ac:dyDescent="0.3">
      <c r="A140" t="s">
        <v>348</v>
      </c>
      <c r="B140" t="str" cm="1">
        <f t="array" ref="B140:G140">_xlfn.TEXTSPLIT(A140,",")</f>
        <v>TransUNet_TVERSKY_1_Fold_1</v>
      </c>
      <c r="C140" t="str">
        <v>fibrosis</v>
      </c>
      <c r="D140" t="str">
        <v>0.4472409816154722</v>
      </c>
      <c r="E140" t="str">
        <v>0.6180601396682986</v>
      </c>
      <c r="F140" t="str">
        <v>0.6531860117054296</v>
      </c>
      <c r="G140" t="str">
        <v>0.586519348509499</v>
      </c>
    </row>
    <row r="141" spans="1:7" x14ac:dyDescent="0.3">
      <c r="A141" t="s">
        <v>349</v>
      </c>
      <c r="B141" t="str" cm="1">
        <f t="array" ref="B141:G141">_xlfn.TEXTSPLIT(A141,",")</f>
        <v>TransUNet_TVERSKY_1_Fold_1</v>
      </c>
      <c r="C141" t="str">
        <v>geographic_atrophy</v>
      </c>
      <c r="D141" t="str">
        <v>0.8120655673130199</v>
      </c>
      <c r="E141" t="str">
        <v>0.8962871785232065</v>
      </c>
      <c r="F141" t="str">
        <v>0.8538515453133781</v>
      </c>
      <c r="G141" t="str">
        <v>0.9431614305450527</v>
      </c>
    </row>
    <row r="142" spans="1:7" x14ac:dyDescent="0.3">
      <c r="A142" t="s">
        <v>350</v>
      </c>
      <c r="B142" t="str" cm="1">
        <f t="array" ref="B142:G142">_xlfn.TEXTSPLIT(A142,",")</f>
        <v>TransUNet_TVERSKY_1_Fold_1</v>
      </c>
      <c r="C142" t="str">
        <v>hard_exudates</v>
      </c>
      <c r="D142" t="str">
        <v>0.40766306449611606</v>
      </c>
      <c r="E142" t="str">
        <v>0.5792054572974709</v>
      </c>
      <c r="F142" t="str">
        <v>0.5594955660197566</v>
      </c>
      <c r="G142" t="str">
        <v>0.6003547339918568</v>
      </c>
    </row>
    <row r="143" spans="1:7" x14ac:dyDescent="0.3">
      <c r="A143" t="s">
        <v>351</v>
      </c>
      <c r="B143" t="str" cm="1">
        <f t="array" ref="B143:G143">_xlfn.TEXTSPLIT(A143,",")</f>
        <v>TransUNet_TVERSKY_1_Fold_1</v>
      </c>
      <c r="C143" t="str">
        <v>hemorrhages</v>
      </c>
      <c r="D143" t="str">
        <v>0.5518435194887943</v>
      </c>
      <c r="E143" t="str">
        <v>0.7112102638680757</v>
      </c>
      <c r="F143" t="str">
        <v>0.7697959140175012</v>
      </c>
      <c r="G143" t="str">
        <v>0.6609113225298988</v>
      </c>
    </row>
    <row r="144" spans="1:7" x14ac:dyDescent="0.3">
      <c r="A144" t="s">
        <v>352</v>
      </c>
      <c r="B144" t="str" cm="1">
        <f t="array" ref="B144:G144">_xlfn.TEXTSPLIT(A144,",")</f>
        <v>TransUNet_TVERSKY_1_Fold_1</v>
      </c>
      <c r="C144" t="str">
        <v>laser_coagulates</v>
      </c>
      <c r="D144" t="str">
        <v>0.6270487130177557</v>
      </c>
      <c r="E144" t="str">
        <v>0.7707805033750244</v>
      </c>
      <c r="F144" t="str">
        <v>0.7083926293061017</v>
      </c>
      <c r="G144" t="str">
        <v>0.8452185885276252</v>
      </c>
    </row>
    <row r="145" spans="1:7" x14ac:dyDescent="0.3">
      <c r="A145" t="s">
        <v>353</v>
      </c>
      <c r="B145" t="str" cm="1">
        <f t="array" ref="B145:G145">_xlfn.TEXTSPLIT(A145,",")</f>
        <v>TransUNet_TVERSKY_1_Fold_1</v>
      </c>
      <c r="C145" t="str">
        <v>macular_hole</v>
      </c>
      <c r="D145" t="str">
        <v>0.7332199727557456</v>
      </c>
      <c r="E145" t="str">
        <v>0.846078379295338</v>
      </c>
      <c r="F145" t="str">
        <v>0.7698930501327216</v>
      </c>
      <c r="G145" t="str">
        <v>0.938997569719931</v>
      </c>
    </row>
    <row r="146" spans="1:7" x14ac:dyDescent="0.3">
      <c r="A146" t="s">
        <v>354</v>
      </c>
      <c r="B146" t="str" cm="1">
        <f t="array" ref="B146:G146">_xlfn.TEXTSPLIT(A146,",")</f>
        <v>TransUNet_TVERSKY_1_Fold_1</v>
      </c>
      <c r="C146" t="str">
        <v>microaneurysms</v>
      </c>
      <c r="D146" t="str">
        <v>0.0</v>
      </c>
      <c r="E146" t="str">
        <v>0.0</v>
      </c>
      <c r="F146" t="str">
        <v>0.0</v>
      </c>
      <c r="G146" t="str">
        <v>0.0</v>
      </c>
    </row>
    <row r="147" spans="1:7" x14ac:dyDescent="0.3">
      <c r="A147" t="s">
        <v>355</v>
      </c>
      <c r="B147" t="str" cm="1">
        <f t="array" ref="B147:G147">_xlfn.TEXTSPLIT(A147,",")</f>
        <v>TransUNet_TVERSKY_1_Fold_1</v>
      </c>
      <c r="C147" t="str">
        <v>neovascularization</v>
      </c>
      <c r="D147" t="str">
        <v>0.5858922746145425</v>
      </c>
      <c r="E147" t="str">
        <v>0.7388802934385262</v>
      </c>
      <c r="F147" t="str">
        <v>0.7273689609638245</v>
      </c>
      <c r="G147" t="str">
        <v>0.7507618413584835</v>
      </c>
    </row>
    <row r="148" spans="1:7" x14ac:dyDescent="0.3">
      <c r="A148" t="s">
        <v>356</v>
      </c>
      <c r="B148" t="str" cm="1">
        <f t="array" ref="B148:G148">_xlfn.TEXTSPLIT(A148,",")</f>
        <v>TransUNet_TVERSKY_1_Fold_1</v>
      </c>
      <c r="C148" t="str">
        <v>soft_exudates</v>
      </c>
      <c r="D148" t="str">
        <v>0.44958773472685093</v>
      </c>
      <c r="E148" t="str">
        <v>0.6202973769111916</v>
      </c>
      <c r="F148" t="str">
        <v>0.606567570904039</v>
      </c>
      <c r="G148" t="str">
        <v>0.6346631328666977</v>
      </c>
    </row>
    <row r="149" spans="1:7" x14ac:dyDescent="0.3">
      <c r="A149" t="s">
        <v>357</v>
      </c>
      <c r="B149" t="str" cm="1">
        <f t="array" ref="B149:G149">_xlfn.TEXTSPLIT(A149,",")</f>
        <v>TransUNet_TVERSKY_1_Fold_1</v>
      </c>
      <c r="C149" t="str">
        <v>subretinal_hemorrhage</v>
      </c>
      <c r="D149" t="str">
        <v>0.5842856914637697</v>
      </c>
      <c r="E149" t="str">
        <v>0.7376014245561108</v>
      </c>
      <c r="F149" t="str">
        <v>0.7674234002753859</v>
      </c>
      <c r="G149" t="str">
        <v>0.7100105065828614</v>
      </c>
    </row>
    <row r="150" spans="1:7" x14ac:dyDescent="0.3">
      <c r="A150" t="s">
        <v>358</v>
      </c>
      <c r="B150" t="str" cm="1">
        <f t="array" ref="B150:G150">_xlfn.TEXTSPLIT(A150,",")</f>
        <v>TransUNet_TVERSKY_1_Fold_1</v>
      </c>
      <c r="C150" t="str">
        <v>venous_anomalies</v>
      </c>
      <c r="D150" t="str">
        <v>0.0</v>
      </c>
      <c r="E150" t="str">
        <v>0.0</v>
      </c>
      <c r="F150" t="str">
        <v>0.0</v>
      </c>
      <c r="G150" t="str">
        <v>0.0</v>
      </c>
    </row>
    <row r="151" spans="1:7" x14ac:dyDescent="0.3">
      <c r="A151" t="s">
        <v>359</v>
      </c>
      <c r="B151" t="str" cm="1">
        <f t="array" ref="B151:G151">_xlfn.TEXTSPLIT(A151,",")</f>
        <v>TransUNet_TVERSKY_1_Fold_1</v>
      </c>
      <c r="C151" t="str">
        <v>MEAN</v>
      </c>
      <c r="D151" t="str">
        <v>0.4639297957979327</v>
      </c>
      <c r="E151" t="str">
        <v>0.5913133537963493</v>
      </c>
      <c r="F151" t="str">
        <v>0.5810483610695545</v>
      </c>
      <c r="G151" t="str">
        <v>0.6053422634326541</v>
      </c>
    </row>
    <row r="152" spans="1:7" x14ac:dyDescent="0.3">
      <c r="A152" t="s">
        <v>360</v>
      </c>
      <c r="B152" t="str" cm="1">
        <f t="array" ref="B152:G152">_xlfn.TEXTSPLIT(A152,",")</f>
        <v>TransUNet_TVERSKY_2_Fold_2</v>
      </c>
      <c r="C152" t="str">
        <v>drusen</v>
      </c>
      <c r="D152" t="str">
        <v>0.20747655792023598</v>
      </c>
      <c r="E152" t="str">
        <v>0.3436531443353148</v>
      </c>
      <c r="F152" t="str">
        <v>0.32680247522691475</v>
      </c>
      <c r="G152" t="str">
        <v>0.3623360018278029</v>
      </c>
    </row>
    <row r="153" spans="1:7" x14ac:dyDescent="0.3">
      <c r="A153" t="s">
        <v>361</v>
      </c>
      <c r="B153" t="str" cm="1">
        <f t="array" ref="B153:G153">_xlfn.TEXTSPLIT(A153,",")</f>
        <v>TransUNet_TVERSKY_2_Fold_2</v>
      </c>
      <c r="C153" t="str">
        <v>edema</v>
      </c>
      <c r="D153" t="str">
        <v>0.4046804497871812</v>
      </c>
      <c r="E153" t="str">
        <v>0.5761886268844891</v>
      </c>
      <c r="F153" t="str">
        <v>0.6580304502875206</v>
      </c>
      <c r="G153" t="str">
        <v>0.512452858529369</v>
      </c>
    </row>
    <row r="154" spans="1:7" x14ac:dyDescent="0.3">
      <c r="A154" t="s">
        <v>362</v>
      </c>
      <c r="B154" t="str" cm="1">
        <f t="array" ref="B154:G154">_xlfn.TEXTSPLIT(A154,",")</f>
        <v>TransUNet_TVERSKY_2_Fold_2</v>
      </c>
      <c r="C154" t="str">
        <v>epiretinal_fibrosis</v>
      </c>
      <c r="D154" t="str">
        <v>0.6802965754615655</v>
      </c>
      <c r="E154" t="str">
        <v>0.8097339307790863</v>
      </c>
      <c r="F154" t="str">
        <v>0.8117111324877643</v>
      </c>
      <c r="G154" t="str">
        <v>0.8077663379745292</v>
      </c>
    </row>
    <row r="155" spans="1:7" x14ac:dyDescent="0.3">
      <c r="A155" t="s">
        <v>363</v>
      </c>
      <c r="B155" t="str" cm="1">
        <f t="array" ref="B155:G155">_xlfn.TEXTSPLIT(A155,",")</f>
        <v>TransUNet_TVERSKY_2_Fold_2</v>
      </c>
      <c r="C155" t="str">
        <v>fibrosis</v>
      </c>
      <c r="D155" t="str">
        <v>0.32535970167281086</v>
      </c>
      <c r="E155" t="str">
        <v>0.49097569703101146</v>
      </c>
      <c r="F155" t="str">
        <v>0.4552466407376793</v>
      </c>
      <c r="G155" t="str">
        <v>0.5327906267701569</v>
      </c>
    </row>
    <row r="156" spans="1:7" x14ac:dyDescent="0.3">
      <c r="A156" t="s">
        <v>364</v>
      </c>
      <c r="B156" t="str" cm="1">
        <f t="array" ref="B156:G156">_xlfn.TEXTSPLIT(A156,",")</f>
        <v>TransUNet_TVERSKY_2_Fold_2</v>
      </c>
      <c r="C156" t="str">
        <v>geographic_atrophy</v>
      </c>
      <c r="D156" t="str">
        <v>0.7473069304687684</v>
      </c>
      <c r="E156" t="str">
        <v>0.8553814071672922</v>
      </c>
      <c r="F156" t="str">
        <v>0.8375356212349269</v>
      </c>
      <c r="G156" t="str">
        <v>0.8740042481803127</v>
      </c>
    </row>
    <row r="157" spans="1:7" x14ac:dyDescent="0.3">
      <c r="A157" t="s">
        <v>365</v>
      </c>
      <c r="B157" t="str" cm="1">
        <f t="array" ref="B157:G157">_xlfn.TEXTSPLIT(A157,",")</f>
        <v>TransUNet_TVERSKY_2_Fold_2</v>
      </c>
      <c r="C157" t="str">
        <v>hard_exudates</v>
      </c>
      <c r="D157" t="str">
        <v>0.45845008174175916</v>
      </c>
      <c r="E157" t="str">
        <v>0.6286812109390176</v>
      </c>
      <c r="F157" t="str">
        <v>0.5705567448167174</v>
      </c>
      <c r="G157" t="str">
        <v>0.6999916284639378</v>
      </c>
    </row>
    <row r="158" spans="1:7" x14ac:dyDescent="0.3">
      <c r="A158" t="s">
        <v>366</v>
      </c>
      <c r="B158" t="str" cm="1">
        <f t="array" ref="B158:G158">_xlfn.TEXTSPLIT(A158,",")</f>
        <v>TransUNet_TVERSKY_2_Fold_2</v>
      </c>
      <c r="C158" t="str">
        <v>hemorrhages</v>
      </c>
      <c r="D158" t="str">
        <v>0.5662587715076288</v>
      </c>
      <c r="E158" t="str">
        <v>0.7230717960641547</v>
      </c>
      <c r="F158" t="str">
        <v>0.7057324920563112</v>
      </c>
      <c r="G158" t="str">
        <v>0.7412845876912647</v>
      </c>
    </row>
    <row r="159" spans="1:7" x14ac:dyDescent="0.3">
      <c r="A159" t="s">
        <v>367</v>
      </c>
      <c r="B159" t="str" cm="1">
        <f t="array" ref="B159:G159">_xlfn.TEXTSPLIT(A159,",")</f>
        <v>TransUNet_TVERSKY_2_Fold_2</v>
      </c>
      <c r="C159" t="str">
        <v>laser_coagulates</v>
      </c>
      <c r="D159" t="str">
        <v>0.6058697502394893</v>
      </c>
      <c r="E159" t="str">
        <v>0.7545689806400969</v>
      </c>
      <c r="F159" t="str">
        <v>0.6710521115928784</v>
      </c>
      <c r="G159" t="str">
        <v>0.8618293357298669</v>
      </c>
    </row>
    <row r="160" spans="1:7" x14ac:dyDescent="0.3">
      <c r="A160" t="s">
        <v>368</v>
      </c>
      <c r="B160" t="str" cm="1">
        <f t="array" ref="B160:G160">_xlfn.TEXTSPLIT(A160,",")</f>
        <v>TransUNet_TVERSKY_2_Fold_2</v>
      </c>
      <c r="C160" t="str">
        <v>macular_hole</v>
      </c>
      <c r="D160" t="str">
        <v>0.7169343070215367</v>
      </c>
      <c r="E160" t="str">
        <v>0.8351330672228728</v>
      </c>
      <c r="F160" t="str">
        <v>0.7430120957771155</v>
      </c>
      <c r="G160" t="str">
        <v>0.9533299000925011</v>
      </c>
    </row>
    <row r="161" spans="1:7" x14ac:dyDescent="0.3">
      <c r="A161" t="s">
        <v>369</v>
      </c>
      <c r="B161" t="str" cm="1">
        <f t="array" ref="B161:G161">_xlfn.TEXTSPLIT(A161,",")</f>
        <v>TransUNet_TVERSKY_2_Fold_2</v>
      </c>
      <c r="C161" t="str">
        <v>microaneurysms</v>
      </c>
      <c r="D161" t="str">
        <v>0.0</v>
      </c>
      <c r="E161" t="str">
        <v>0.0</v>
      </c>
      <c r="F161" t="str">
        <v>0.0</v>
      </c>
      <c r="G161" t="str">
        <v>0.0</v>
      </c>
    </row>
    <row r="162" spans="1:7" x14ac:dyDescent="0.3">
      <c r="A162" t="s">
        <v>370</v>
      </c>
      <c r="B162" t="str" cm="1">
        <f t="array" ref="B162:G162">_xlfn.TEXTSPLIT(A162,",")</f>
        <v>TransUNet_TVERSKY_2_Fold_2</v>
      </c>
      <c r="C162" t="str">
        <v>neovascularization</v>
      </c>
      <c r="D162" t="str">
        <v>0.5642985728460055</v>
      </c>
      <c r="E162" t="str">
        <v>0.7214716968249216</v>
      </c>
      <c r="F162" t="str">
        <v>0.669710865635012</v>
      </c>
      <c r="G162" t="str">
        <v>0.781903726319306</v>
      </c>
    </row>
    <row r="163" spans="1:7" x14ac:dyDescent="0.3">
      <c r="A163" t="s">
        <v>371</v>
      </c>
      <c r="B163" t="str" cm="1">
        <f t="array" ref="B163:G163">_xlfn.TEXTSPLIT(A163,",")</f>
        <v>TransUNet_TVERSKY_2_Fold_2</v>
      </c>
      <c r="C163" t="str">
        <v>soft_exudates</v>
      </c>
      <c r="D163" t="str">
        <v>0.27756885975704054</v>
      </c>
      <c r="E163" t="str">
        <v>0.43452665214433417</v>
      </c>
      <c r="F163" t="str">
        <v>0.5471507357638734</v>
      </c>
      <c r="G163" t="str">
        <v>0.36035260886731924</v>
      </c>
    </row>
    <row r="164" spans="1:7" x14ac:dyDescent="0.3">
      <c r="A164" t="s">
        <v>372</v>
      </c>
      <c r="B164" t="str" cm="1">
        <f t="array" ref="B164:G164">_xlfn.TEXTSPLIT(A164,",")</f>
        <v>TransUNet_TVERSKY_2_Fold_2</v>
      </c>
      <c r="C164" t="str">
        <v>subretinal_hemorrhage</v>
      </c>
      <c r="D164" t="str">
        <v>0.58265345859768</v>
      </c>
      <c r="E164" t="str">
        <v>0.7362994791215302</v>
      </c>
      <c r="F164" t="str">
        <v>0.67523595720459</v>
      </c>
      <c r="G164" t="str">
        <v>0.8095053685387372</v>
      </c>
    </row>
    <row r="165" spans="1:7" x14ac:dyDescent="0.3">
      <c r="A165" t="s">
        <v>373</v>
      </c>
      <c r="B165" t="str" cm="1">
        <f t="array" ref="B165:G165">_xlfn.TEXTSPLIT(A165,",")</f>
        <v>TransUNet_TVERSKY_2_Fold_2</v>
      </c>
      <c r="C165" t="str">
        <v>venous_anomalies</v>
      </c>
      <c r="D165" t="str">
        <v>0.0</v>
      </c>
      <c r="E165" t="str">
        <v>0.0</v>
      </c>
      <c r="F165" t="str">
        <v>0.0</v>
      </c>
      <c r="G165" t="str">
        <v>0.0</v>
      </c>
    </row>
    <row r="166" spans="1:7" x14ac:dyDescent="0.3">
      <c r="A166" t="s">
        <v>374</v>
      </c>
      <c r="B166" t="str" cm="1">
        <f t="array" ref="B166:G166">_xlfn.TEXTSPLIT(A166,",")</f>
        <v>TransUNet_TVERSKY_2_Fold_2</v>
      </c>
      <c r="C166" t="str">
        <v>MEAN</v>
      </c>
      <c r="D166" t="str">
        <v>0.4383681440729787</v>
      </c>
      <c r="E166" t="str">
        <v>0.5649775492252944</v>
      </c>
      <c r="F166" t="str">
        <v>0.547984094487236</v>
      </c>
      <c r="G166" t="str">
        <v>0.5926819449275075</v>
      </c>
    </row>
    <row r="167" spans="1:7" x14ac:dyDescent="0.3">
      <c r="A167" t="s">
        <v>375</v>
      </c>
      <c r="B167" t="str" cm="1">
        <f t="array" ref="B167:G167">_xlfn.TEXTSPLIT(A167,",")</f>
        <v>TransUNet_TVERSKY_3_Fold_3</v>
      </c>
      <c r="C167" t="str">
        <v>drusen</v>
      </c>
      <c r="D167" t="str">
        <v>0.21260467106935865</v>
      </c>
      <c r="E167" t="str">
        <v>0.3506578461088545</v>
      </c>
      <c r="F167" t="str">
        <v>0.2704425757837189</v>
      </c>
      <c r="G167" t="str">
        <v>0.49852365248948505</v>
      </c>
    </row>
    <row r="168" spans="1:7" x14ac:dyDescent="0.3">
      <c r="A168" t="s">
        <v>376</v>
      </c>
      <c r="B168" t="str" cm="1">
        <f t="array" ref="B168:G168">_xlfn.TEXTSPLIT(A168,",")</f>
        <v>TransUNet_TVERSKY_3_Fold_3</v>
      </c>
      <c r="C168" t="str">
        <v>edema</v>
      </c>
      <c r="D168" t="str">
        <v>0.2923664644977183</v>
      </c>
      <c r="E168" t="str">
        <v>0.45245133254265824</v>
      </c>
      <c r="F168" t="str">
        <v>0.5318745982287642</v>
      </c>
      <c r="G168" t="str">
        <v>0.3936663039733882</v>
      </c>
    </row>
    <row r="169" spans="1:7" x14ac:dyDescent="0.3">
      <c r="A169" t="s">
        <v>377</v>
      </c>
      <c r="B169" t="str" cm="1">
        <f t="array" ref="B169:G169">_xlfn.TEXTSPLIT(A169,",")</f>
        <v>TransUNet_TVERSKY_3_Fold_3</v>
      </c>
      <c r="C169" t="str">
        <v>epiretinal_fibrosis</v>
      </c>
      <c r="D169" t="str">
        <v>0.6428250649747695</v>
      </c>
      <c r="E169" t="str">
        <v>0.7825849248101678</v>
      </c>
      <c r="F169" t="str">
        <v>0.7223645923184511</v>
      </c>
      <c r="G169" t="str">
        <v>0.8537590287545256</v>
      </c>
    </row>
    <row r="170" spans="1:7" x14ac:dyDescent="0.3">
      <c r="A170" t="s">
        <v>378</v>
      </c>
      <c r="B170" t="str" cm="1">
        <f t="array" ref="B170:G170">_xlfn.TEXTSPLIT(A170,",")</f>
        <v>TransUNet_TVERSKY_3_Fold_3</v>
      </c>
      <c r="C170" t="str">
        <v>fibrosis</v>
      </c>
      <c r="D170" t="str">
        <v>0.42902692307614465</v>
      </c>
      <c r="E170" t="str">
        <v>0.6004462423319707</v>
      </c>
      <c r="F170" t="str">
        <v>0.5587069605059082</v>
      </c>
      <c r="G170" t="str">
        <v>0.648925472201991</v>
      </c>
    </row>
    <row r="171" spans="1:7" x14ac:dyDescent="0.3">
      <c r="A171" t="s">
        <v>379</v>
      </c>
      <c r="B171" t="str" cm="1">
        <f t="array" ref="B171:G171">_xlfn.TEXTSPLIT(A171,",")</f>
        <v>TransUNet_TVERSKY_3_Fold_3</v>
      </c>
      <c r="C171" t="str">
        <v>geographic_atrophy</v>
      </c>
      <c r="D171" t="str">
        <v>0.7659690068612773</v>
      </c>
      <c r="E171" t="str">
        <v>0.8674772930728413</v>
      </c>
      <c r="F171" t="str">
        <v>0.8272273481163372</v>
      </c>
      <c r="G171" t="str">
        <v>0.911844403433319</v>
      </c>
    </row>
    <row r="172" spans="1:7" x14ac:dyDescent="0.3">
      <c r="A172" t="s">
        <v>380</v>
      </c>
      <c r="B172" t="str" cm="1">
        <f t="array" ref="B172:G172">_xlfn.TEXTSPLIT(A172,",")</f>
        <v>TransUNet_TVERSKY_3_Fold_3</v>
      </c>
      <c r="C172" t="str">
        <v>hard_exudates</v>
      </c>
      <c r="D172" t="str">
        <v>0.46496957222268476</v>
      </c>
      <c r="E172" t="str">
        <v>0.6347839314057868</v>
      </c>
      <c r="F172" t="str">
        <v>0.5774148145922638</v>
      </c>
      <c r="G172" t="str">
        <v>0.7048104572817</v>
      </c>
    </row>
    <row r="173" spans="1:7" x14ac:dyDescent="0.3">
      <c r="A173" t="s">
        <v>381</v>
      </c>
      <c r="B173" t="str" cm="1">
        <f t="array" ref="B173:G173">_xlfn.TEXTSPLIT(A173,",")</f>
        <v>TransUNet_TVERSKY_3_Fold_3</v>
      </c>
      <c r="C173" t="str">
        <v>hemorrhages</v>
      </c>
      <c r="D173" t="str">
        <v>0.5129100419092395</v>
      </c>
      <c r="E173" t="str">
        <v>0.6780443353551477</v>
      </c>
      <c r="F173" t="str">
        <v>0.6272859313033132</v>
      </c>
      <c r="G173" t="str">
        <v>0.737740441286266</v>
      </c>
    </row>
    <row r="174" spans="1:7" x14ac:dyDescent="0.3">
      <c r="A174" t="s">
        <v>382</v>
      </c>
      <c r="B174" t="str" cm="1">
        <f t="array" ref="B174:G174">_xlfn.TEXTSPLIT(A174,",")</f>
        <v>TransUNet_TVERSKY_3_Fold_3</v>
      </c>
      <c r="C174" t="str">
        <v>laser_coagulates</v>
      </c>
      <c r="D174" t="str">
        <v>0.6142691039793988</v>
      </c>
      <c r="E174" t="str">
        <v>0.7610491986313058</v>
      </c>
      <c r="F174" t="str">
        <v>0.6825095093501308</v>
      </c>
      <c r="G174" t="str">
        <v>0.8600153482666558</v>
      </c>
    </row>
    <row r="175" spans="1:7" x14ac:dyDescent="0.3">
      <c r="A175" t="s">
        <v>383</v>
      </c>
      <c r="B175" t="str" cm="1">
        <f t="array" ref="B175:G175">_xlfn.TEXTSPLIT(A175,",")</f>
        <v>TransUNet_TVERSKY_3_Fold_3</v>
      </c>
      <c r="C175" t="str">
        <v>macular_hole</v>
      </c>
      <c r="D175" t="str">
        <v>0.778602533327561</v>
      </c>
      <c r="E175" t="str">
        <v>0.8755216736039223</v>
      </c>
      <c r="F175" t="str">
        <v>0.7996775224085464</v>
      </c>
      <c r="G175" t="str">
        <v>0.967259911751479</v>
      </c>
    </row>
    <row r="176" spans="1:7" x14ac:dyDescent="0.3">
      <c r="A176" t="s">
        <v>384</v>
      </c>
      <c r="B176" t="str" cm="1">
        <f t="array" ref="B176:G176">_xlfn.TEXTSPLIT(A176,",")</f>
        <v>TransUNet_TVERSKY_3_Fold_3</v>
      </c>
      <c r="C176" t="str">
        <v>microaneurysms</v>
      </c>
      <c r="D176" t="str">
        <v>0.0</v>
      </c>
      <c r="E176" t="str">
        <v>0.0</v>
      </c>
      <c r="F176" t="str">
        <v>0.0</v>
      </c>
      <c r="G176" t="str">
        <v>0.0</v>
      </c>
    </row>
    <row r="177" spans="1:7" x14ac:dyDescent="0.3">
      <c r="A177" t="s">
        <v>385</v>
      </c>
      <c r="B177" t="str" cm="1">
        <f t="array" ref="B177:G177">_xlfn.TEXTSPLIT(A177,",")</f>
        <v>TransUNet_TVERSKY_3_Fold_3</v>
      </c>
      <c r="C177" t="str">
        <v>neovascularization</v>
      </c>
      <c r="D177" t="str">
        <v>0.6232912734091975</v>
      </c>
      <c r="E177" t="str">
        <v>0.7679352234798579</v>
      </c>
      <c r="F177" t="str">
        <v>0.7195371714955504</v>
      </c>
      <c r="G177" t="str">
        <v>0.8233135612730872</v>
      </c>
    </row>
    <row r="178" spans="1:7" x14ac:dyDescent="0.3">
      <c r="A178" t="s">
        <v>386</v>
      </c>
      <c r="B178" t="str" cm="1">
        <f t="array" ref="B178:G178">_xlfn.TEXTSPLIT(A178,",")</f>
        <v>TransUNet_TVERSKY_3_Fold_3</v>
      </c>
      <c r="C178" t="str">
        <v>soft_exudates</v>
      </c>
      <c r="D178" t="str">
        <v>0.4579914842314886</v>
      </c>
      <c r="E178" t="str">
        <v>0.6282498755099344</v>
      </c>
      <c r="F178" t="str">
        <v>0.5881256100937666</v>
      </c>
      <c r="G178" t="str">
        <v>0.6742498807972258</v>
      </c>
    </row>
    <row r="179" spans="1:7" x14ac:dyDescent="0.3">
      <c r="A179" t="s">
        <v>387</v>
      </c>
      <c r="B179" t="str" cm="1">
        <f t="array" ref="B179:G179">_xlfn.TEXTSPLIT(A179,",")</f>
        <v>TransUNet_TVERSKY_3_Fold_3</v>
      </c>
      <c r="C179" t="str">
        <v>subretinal_hemorrhage</v>
      </c>
      <c r="D179" t="str">
        <v>0.5256744898271786</v>
      </c>
      <c r="E179" t="str">
        <v>0.6891043841032232</v>
      </c>
      <c r="F179" t="str">
        <v>0.6703328301659763</v>
      </c>
      <c r="G179" t="str">
        <v>0.7089575592173939</v>
      </c>
    </row>
    <row r="180" spans="1:7" x14ac:dyDescent="0.3">
      <c r="A180" t="s">
        <v>388</v>
      </c>
      <c r="B180" t="str" cm="1">
        <f t="array" ref="B180:G180">_xlfn.TEXTSPLIT(A180,",")</f>
        <v>TransUNet_TVERSKY_3_Fold_3</v>
      </c>
      <c r="C180" t="str">
        <v>venous_anomalies</v>
      </c>
      <c r="D180" t="str">
        <v>0.0</v>
      </c>
      <c r="E180" t="str">
        <v>0.0</v>
      </c>
      <c r="F180" t="str">
        <v>0.0</v>
      </c>
      <c r="G180" t="str">
        <v>0.0</v>
      </c>
    </row>
    <row r="181" spans="1:7" x14ac:dyDescent="0.3">
      <c r="A181" t="s">
        <v>389</v>
      </c>
      <c r="B181" t="str" cm="1">
        <f t="array" ref="B181:G181">_xlfn.TEXTSPLIT(A181,",")</f>
        <v>TransUNet_TVERSKY_3_Fold_3</v>
      </c>
      <c r="C181" t="str">
        <v>MEAN</v>
      </c>
      <c r="D181" t="str">
        <v>0.4514643306704298</v>
      </c>
      <c r="E181" t="str">
        <v>0.5777361614968336</v>
      </c>
      <c r="F181" t="str">
        <v>0.5411071045973376</v>
      </c>
      <c r="G181" t="str">
        <v>0.6273618586233226</v>
      </c>
    </row>
    <row r="182" spans="1:7" x14ac:dyDescent="0.3">
      <c r="A182" t="s">
        <v>398</v>
      </c>
      <c r="B182" t="str" cm="1">
        <f t="array" ref="B182:G182">_xlfn.TEXTSPLIT(A182,",")</f>
        <v>SegFormer_DICE_1_Fold_1</v>
      </c>
      <c r="C182" t="str">
        <v>drusen</v>
      </c>
      <c r="D182" t="str">
        <v>0.3981222535799708</v>
      </c>
      <c r="E182" t="str">
        <v>0.5695099302804977</v>
      </c>
      <c r="F182" t="str">
        <v>0.6072806706108724</v>
      </c>
      <c r="G182" t="str">
        <v>0.5361624926540568</v>
      </c>
    </row>
    <row r="183" spans="1:7" x14ac:dyDescent="0.3">
      <c r="A183" t="s">
        <v>399</v>
      </c>
      <c r="B183" t="str" cm="1">
        <f t="array" ref="B183:G183">_xlfn.TEXTSPLIT(A183,",")</f>
        <v>SegFormer_DICE_1_Fold_1</v>
      </c>
      <c r="C183" t="str">
        <v>edema</v>
      </c>
      <c r="D183" t="str">
        <v>0.3693010767352592</v>
      </c>
      <c r="E183" t="str">
        <v>0.539400841801368</v>
      </c>
      <c r="F183" t="str">
        <v>0.5491836839002566</v>
      </c>
      <c r="G183" t="str">
        <v>0.5299604316553053</v>
      </c>
    </row>
    <row r="184" spans="1:7" x14ac:dyDescent="0.3">
      <c r="A184" t="s">
        <v>400</v>
      </c>
      <c r="B184" t="str" cm="1">
        <f t="array" ref="B184:G184">_xlfn.TEXTSPLIT(A184,",")</f>
        <v>SegFormer_DICE_1_Fold_1</v>
      </c>
      <c r="C184" t="str">
        <v>epiretinal_fibrosis</v>
      </c>
      <c r="D184" t="str">
        <v>0.6690069097813705</v>
      </c>
      <c r="E184" t="str">
        <v>0.8016826124093233</v>
      </c>
      <c r="F184" t="str">
        <v>0.7848574424782254</v>
      </c>
      <c r="G184" t="str">
        <v>0.8192449553820405</v>
      </c>
    </row>
    <row r="185" spans="1:7" x14ac:dyDescent="0.3">
      <c r="A185" t="s">
        <v>401</v>
      </c>
      <c r="B185" t="str" cm="1">
        <f t="array" ref="B185:G185">_xlfn.TEXTSPLIT(A185,",")</f>
        <v>SegFormer_DICE_1_Fold_1</v>
      </c>
      <c r="C185" t="str">
        <v>fibrosis</v>
      </c>
      <c r="D185" t="str">
        <v>0.44962429963484757</v>
      </c>
      <c r="E185" t="str">
        <v>0.6203321781348525</v>
      </c>
      <c r="F185" t="str">
        <v>0.6764049272774826</v>
      </c>
      <c r="G185" t="str">
        <v>0.5728444092520355</v>
      </c>
    </row>
    <row r="186" spans="1:7" x14ac:dyDescent="0.3">
      <c r="A186" t="s">
        <v>402</v>
      </c>
      <c r="B186" t="str" cm="1">
        <f t="array" ref="B186:G186">_xlfn.TEXTSPLIT(A186,",")</f>
        <v>SegFormer_DICE_1_Fold_1</v>
      </c>
      <c r="C186" t="str">
        <v>geographic_atrophy</v>
      </c>
      <c r="D186" t="str">
        <v>0.7900681781637803</v>
      </c>
      <c r="E186" t="str">
        <v>0.882724119451381</v>
      </c>
      <c r="F186" t="str">
        <v>0.8260766543923326</v>
      </c>
      <c r="G186" t="str">
        <v>0.9477126647348344</v>
      </c>
    </row>
    <row r="187" spans="1:7" x14ac:dyDescent="0.3">
      <c r="A187" t="s">
        <v>403</v>
      </c>
      <c r="B187" t="str" cm="1">
        <f t="array" ref="B187:G187">_xlfn.TEXTSPLIT(A187,",")</f>
        <v>SegFormer_DICE_1_Fold_1</v>
      </c>
      <c r="C187" t="str">
        <v>hard_exudates</v>
      </c>
      <c r="D187" t="str">
        <v>0.5171908337886945</v>
      </c>
      <c r="E187" t="str">
        <v>0.6817742663224207</v>
      </c>
      <c r="F187" t="str">
        <v>0.6872973656883097</v>
      </c>
      <c r="G187" t="str">
        <v>0.6763392262103769</v>
      </c>
    </row>
    <row r="188" spans="1:7" x14ac:dyDescent="0.3">
      <c r="A188" t="s">
        <v>404</v>
      </c>
      <c r="B188" t="str" cm="1">
        <f t="array" ref="B188:G188">_xlfn.TEXTSPLIT(A188,",")</f>
        <v>SegFormer_DICE_1_Fold_1</v>
      </c>
      <c r="C188" t="str">
        <v>hemorrhages</v>
      </c>
      <c r="D188" t="str">
        <v>0.5724222168494041</v>
      </c>
      <c r="E188" t="str">
        <v>0.7280769893932716</v>
      </c>
      <c r="F188" t="str">
        <v>0.777408525049771</v>
      </c>
      <c r="G188" t="str">
        <v>0.6846326739790031</v>
      </c>
    </row>
    <row r="189" spans="1:7" x14ac:dyDescent="0.3">
      <c r="A189" t="s">
        <v>405</v>
      </c>
      <c r="B189" t="str" cm="1">
        <f t="array" ref="B189:G189">_xlfn.TEXTSPLIT(A189,",")</f>
        <v>SegFormer_DICE_1_Fold_1</v>
      </c>
      <c r="C189" t="str">
        <v>laser_coagulates</v>
      </c>
      <c r="D189" t="str">
        <v>0.6543374713070368</v>
      </c>
      <c r="E189" t="str">
        <v>0.7910568220280552</v>
      </c>
      <c r="F189" t="str">
        <v>0.7067004171619354</v>
      </c>
      <c r="G189" t="str">
        <v>0.898281617691991</v>
      </c>
    </row>
    <row r="190" spans="1:7" x14ac:dyDescent="0.3">
      <c r="A190" t="s">
        <v>406</v>
      </c>
      <c r="B190" t="str" cm="1">
        <f t="array" ref="B190:G190">_xlfn.TEXTSPLIT(A190,",")</f>
        <v>SegFormer_DICE_1_Fold_1</v>
      </c>
      <c r="C190" t="str">
        <v>macular_hole</v>
      </c>
      <c r="D190" t="str">
        <v>0.8213520470525643</v>
      </c>
      <c r="E190" t="str">
        <v>0.901914650033454</v>
      </c>
      <c r="F190" t="str">
        <v>0.8488667607934588</v>
      </c>
      <c r="G190" t="str">
        <v>0.9620346976585187</v>
      </c>
    </row>
    <row r="191" spans="1:7" x14ac:dyDescent="0.3">
      <c r="A191" t="s">
        <v>407</v>
      </c>
      <c r="B191" t="str" cm="1">
        <f t="array" ref="B191:G191">_xlfn.TEXTSPLIT(A191,",")</f>
        <v>SegFormer_DICE_1_Fold_1</v>
      </c>
      <c r="C191" t="str">
        <v>microaneurysms</v>
      </c>
      <c r="D191" t="str">
        <v>0.22171081470340123</v>
      </c>
      <c r="E191" t="str">
        <v>0.3629513826596136</v>
      </c>
      <c r="F191" t="str">
        <v>0.3962008141109848</v>
      </c>
      <c r="G191" t="str">
        <v>0.33485050894325674</v>
      </c>
    </row>
    <row r="192" spans="1:7" x14ac:dyDescent="0.3">
      <c r="A192" t="s">
        <v>408</v>
      </c>
      <c r="B192" t="str" cm="1">
        <f t="array" ref="B192:G192">_xlfn.TEXTSPLIT(A192,",")</f>
        <v>SegFormer_DICE_1_Fold_1</v>
      </c>
      <c r="C192" t="str">
        <v>neovascularization</v>
      </c>
      <c r="D192" t="str">
        <v>0.5731261810877366</v>
      </c>
      <c r="E192" t="str">
        <v>0.728646167075357</v>
      </c>
      <c r="F192" t="str">
        <v>0.697585672395094</v>
      </c>
      <c r="G192" t="str">
        <v>0.7626015391346949</v>
      </c>
    </row>
    <row r="193" spans="1:7" x14ac:dyDescent="0.3">
      <c r="A193" t="s">
        <v>409</v>
      </c>
      <c r="B193" t="str" cm="1">
        <f t="array" ref="B193:G193">_xlfn.TEXTSPLIT(A193,",")</f>
        <v>SegFormer_DICE_1_Fold_1</v>
      </c>
      <c r="C193" t="str">
        <v>soft_exudates</v>
      </c>
      <c r="D193" t="str">
        <v>0.5337583089282589</v>
      </c>
      <c r="E193" t="str">
        <v>0.6960135841757651</v>
      </c>
      <c r="F193" t="str">
        <v>0.7386764322399533</v>
      </c>
      <c r="G193" t="str">
        <v>0.65800970731862</v>
      </c>
    </row>
    <row r="194" spans="1:7" x14ac:dyDescent="0.3">
      <c r="A194" t="s">
        <v>410</v>
      </c>
      <c r="B194" t="str" cm="1">
        <f t="array" ref="B194:G194">_xlfn.TEXTSPLIT(A194,",")</f>
        <v>SegFormer_DICE_1_Fold_1</v>
      </c>
      <c r="C194" t="str">
        <v>subretinal_hemorrhage</v>
      </c>
      <c r="D194" t="str">
        <v>0.5556107131881852</v>
      </c>
      <c r="E194" t="str">
        <v>0.7143313021411056</v>
      </c>
      <c r="F194" t="str">
        <v>0.7698062319484902</v>
      </c>
      <c r="G194" t="str">
        <v>0.666314358726101</v>
      </c>
    </row>
    <row r="195" spans="1:7" x14ac:dyDescent="0.3">
      <c r="A195" t="s">
        <v>411</v>
      </c>
      <c r="B195" t="str" cm="1">
        <f t="array" ref="B195:G195">_xlfn.TEXTSPLIT(A195,",")</f>
        <v>SegFormer_DICE_1_Fold_1</v>
      </c>
      <c r="C195" t="str">
        <v>venous_anomalies</v>
      </c>
      <c r="D195" t="str">
        <v>0.20173864728144925</v>
      </c>
      <c r="E195" t="str">
        <v>0.33574462756576673</v>
      </c>
      <c r="F195" t="str">
        <v>0.46226890533390086</v>
      </c>
      <c r="G195" t="str">
        <v>0.2635973138120309</v>
      </c>
    </row>
    <row r="196" spans="1:7" x14ac:dyDescent="0.3">
      <c r="A196" t="s">
        <v>412</v>
      </c>
      <c r="B196" t="str" cm="1">
        <f t="array" ref="B196:G196">_xlfn.TEXTSPLIT(A196,",")</f>
        <v>SegFormer_DICE_1_Fold_1</v>
      </c>
      <c r="C196" t="str">
        <v>MEAN</v>
      </c>
      <c r="D196" t="str">
        <v>0.5233835680058542</v>
      </c>
      <c r="E196" t="str">
        <v>0.6681542481051596</v>
      </c>
      <c r="F196" t="str">
        <v>0.6806153216700762</v>
      </c>
      <c r="G196" t="str">
        <v>0.6651847569394904</v>
      </c>
    </row>
    <row r="197" spans="1:7" x14ac:dyDescent="0.3">
      <c r="A197" t="s">
        <v>413</v>
      </c>
      <c r="B197" t="str" cm="1">
        <f t="array" ref="B197:G197">_xlfn.TEXTSPLIT(A197,",")</f>
        <v>SegFormer_DICE_2_Fold_2</v>
      </c>
      <c r="C197" t="str">
        <v>drusen</v>
      </c>
      <c r="D197" t="str">
        <v>0.36573631151072183</v>
      </c>
      <c r="E197" t="str">
        <v>0.5355884711100041</v>
      </c>
      <c r="F197" t="str">
        <v>0.5543677580837317</v>
      </c>
      <c r="G197" t="str">
        <v>0.5180397989401991</v>
      </c>
    </row>
    <row r="198" spans="1:7" x14ac:dyDescent="0.3">
      <c r="A198" t="s">
        <v>414</v>
      </c>
      <c r="B198" t="str" cm="1">
        <f t="array" ref="B198:G198">_xlfn.TEXTSPLIT(A198,",")</f>
        <v>SegFormer_DICE_2_Fold_2</v>
      </c>
      <c r="C198" t="str">
        <v>edema</v>
      </c>
      <c r="D198" t="str">
        <v>0.41541240322540485</v>
      </c>
      <c r="E198" t="str">
        <v>0.5869842630724076</v>
      </c>
      <c r="F198" t="str">
        <v>0.6113972729653658</v>
      </c>
      <c r="G198" t="str">
        <v>0.5644460106915601</v>
      </c>
    </row>
    <row r="199" spans="1:7" x14ac:dyDescent="0.3">
      <c r="A199" t="s">
        <v>415</v>
      </c>
      <c r="B199" t="str" cm="1">
        <f t="array" ref="B199:G199">_xlfn.TEXTSPLIT(A199,",")</f>
        <v>SegFormer_DICE_2_Fold_2</v>
      </c>
      <c r="C199" t="str">
        <v>epiretinal_fibrosis</v>
      </c>
      <c r="D199" t="str">
        <v>0.6191739486365896</v>
      </c>
      <c r="E199" t="str">
        <v>0.7648022612492738</v>
      </c>
      <c r="F199" t="str">
        <v>0.7195526654665073</v>
      </c>
      <c r="G199" t="str">
        <v>0.8161248708163661</v>
      </c>
    </row>
    <row r="200" spans="1:7" x14ac:dyDescent="0.3">
      <c r="A200" t="s">
        <v>416</v>
      </c>
      <c r="B200" t="str" cm="1">
        <f t="array" ref="B200:G200">_xlfn.TEXTSPLIT(A200,",")</f>
        <v>SegFormer_DICE_2_Fold_2</v>
      </c>
      <c r="C200" t="str">
        <v>fibrosis</v>
      </c>
      <c r="D200" t="str">
        <v>0.40651324074359446</v>
      </c>
      <c r="E200" t="str">
        <v>0.578043958588942</v>
      </c>
      <c r="F200" t="str">
        <v>0.6865574755201752</v>
      </c>
      <c r="G200" t="str">
        <v>0.49915089937426266</v>
      </c>
    </row>
    <row r="201" spans="1:7" x14ac:dyDescent="0.3">
      <c r="A201" t="s">
        <v>417</v>
      </c>
      <c r="B201" t="str" cm="1">
        <f t="array" ref="B201:G201">_xlfn.TEXTSPLIT(A201,",")</f>
        <v>SegFormer_DICE_2_Fold_2</v>
      </c>
      <c r="C201" t="str">
        <v>geographic_atrophy</v>
      </c>
      <c r="D201" t="str">
        <v>0.7340000344176747</v>
      </c>
      <c r="E201" t="str">
        <v>0.8465974854079774</v>
      </c>
      <c r="F201" t="str">
        <v>0.8219251486504743</v>
      </c>
      <c r="G201" t="str">
        <v>0.8727968765502201</v>
      </c>
    </row>
    <row r="202" spans="1:7" x14ac:dyDescent="0.3">
      <c r="A202" t="s">
        <v>418</v>
      </c>
      <c r="B202" t="str" cm="1">
        <f t="array" ref="B202:G202">_xlfn.TEXTSPLIT(A202,",")</f>
        <v>SegFormer_DICE_2_Fold_2</v>
      </c>
      <c r="C202" t="str">
        <v>hard_exudates</v>
      </c>
      <c r="D202" t="str">
        <v>0.6235818556331628</v>
      </c>
      <c r="E202" t="str">
        <v>0.7681557335339634</v>
      </c>
      <c r="F202" t="str">
        <v>0.7761669725012531</v>
      </c>
      <c r="G202" t="str">
        <v>0.7603081817205553</v>
      </c>
    </row>
    <row r="203" spans="1:7" x14ac:dyDescent="0.3">
      <c r="A203" t="s">
        <v>419</v>
      </c>
      <c r="B203" t="str" cm="1">
        <f t="array" ref="B203:G203">_xlfn.TEXTSPLIT(A203,",")</f>
        <v>SegFormer_DICE_2_Fold_2</v>
      </c>
      <c r="C203" t="str">
        <v>hemorrhages</v>
      </c>
      <c r="D203" t="str">
        <v>0.6134765657437311</v>
      </c>
      <c r="E203" t="str">
        <v>0.760440627113725</v>
      </c>
      <c r="F203" t="str">
        <v>0.7412038477377656</v>
      </c>
      <c r="G203" t="str">
        <v>0.7807025326954993</v>
      </c>
    </row>
    <row r="204" spans="1:7" x14ac:dyDescent="0.3">
      <c r="A204" t="s">
        <v>420</v>
      </c>
      <c r="B204" t="str" cm="1">
        <f t="array" ref="B204:G204">_xlfn.TEXTSPLIT(A204,",")</f>
        <v>SegFormer_DICE_2_Fold_2</v>
      </c>
      <c r="C204" t="str">
        <v>laser_coagulates</v>
      </c>
      <c r="D204" t="str">
        <v>0.5665428445490445</v>
      </c>
      <c r="E204" t="str">
        <v>0.7233033510961946</v>
      </c>
      <c r="F204" t="str">
        <v>0.6149170179586377</v>
      </c>
      <c r="G204" t="str">
        <v>0.8780742274135998</v>
      </c>
    </row>
    <row r="205" spans="1:7" x14ac:dyDescent="0.3">
      <c r="A205" t="s">
        <v>421</v>
      </c>
      <c r="B205" t="str" cm="1">
        <f t="array" ref="B205:G205">_xlfn.TEXTSPLIT(A205,",")</f>
        <v>SegFormer_DICE_2_Fold_2</v>
      </c>
      <c r="C205" t="str">
        <v>macular_hole</v>
      </c>
      <c r="D205" t="str">
        <v>0.7468262392353847</v>
      </c>
      <c r="E205" t="str">
        <v>0.8550664312923112</v>
      </c>
      <c r="F205" t="str">
        <v>0.778800033849407</v>
      </c>
      <c r="G205" t="str">
        <v>0.9478916469253378</v>
      </c>
    </row>
    <row r="206" spans="1:7" x14ac:dyDescent="0.3">
      <c r="A206" t="s">
        <v>422</v>
      </c>
      <c r="B206" t="str" cm="1">
        <f t="array" ref="B206:G206">_xlfn.TEXTSPLIT(A206,",")</f>
        <v>SegFormer_DICE_2_Fold_2</v>
      </c>
      <c r="C206" t="str">
        <v>microaneurysms</v>
      </c>
      <c r="D206" t="str">
        <v>0.2160704502383596</v>
      </c>
      <c r="E206" t="str">
        <v>0.35535844193238647</v>
      </c>
      <c r="F206" t="str">
        <v>0.3396632663864038</v>
      </c>
      <c r="G206" t="str">
        <v>0.37257437549335415</v>
      </c>
    </row>
    <row r="207" spans="1:7" x14ac:dyDescent="0.3">
      <c r="A207" t="s">
        <v>423</v>
      </c>
      <c r="B207" t="str" cm="1">
        <f t="array" ref="B207:G207">_xlfn.TEXTSPLIT(A207,",")</f>
        <v>SegFormer_DICE_2_Fold_2</v>
      </c>
      <c r="C207" t="str">
        <v>neovascularization</v>
      </c>
      <c r="D207" t="str">
        <v>0.5968578208683788</v>
      </c>
      <c r="E207" t="str">
        <v>0.7475403421248921</v>
      </c>
      <c r="F207" t="str">
        <v>0.7399367914472758</v>
      </c>
      <c r="G207" t="str">
        <v>0.7553017826255635</v>
      </c>
    </row>
    <row r="208" spans="1:7" x14ac:dyDescent="0.3">
      <c r="A208" t="s">
        <v>424</v>
      </c>
      <c r="B208" t="str" cm="1">
        <f t="array" ref="B208:G208">_xlfn.TEXTSPLIT(A208,",")</f>
        <v>SegFormer_DICE_2_Fold_2</v>
      </c>
      <c r="C208" t="str">
        <v>soft_exudates</v>
      </c>
      <c r="D208" t="str">
        <v>0.3343898875441685</v>
      </c>
      <c r="E208" t="str">
        <v>0.5011876823490993</v>
      </c>
      <c r="F208" t="str">
        <v>0.6653340219406881</v>
      </c>
      <c r="G208" t="str">
        <v>0.40200736739379866</v>
      </c>
    </row>
    <row r="209" spans="1:7" x14ac:dyDescent="0.3">
      <c r="A209" t="s">
        <v>425</v>
      </c>
      <c r="B209" t="str" cm="1">
        <f t="array" ref="B209:G209">_xlfn.TEXTSPLIT(A209,",")</f>
        <v>SegFormer_DICE_2_Fold_2</v>
      </c>
      <c r="C209" t="str">
        <v>subretinal_hemorrhage</v>
      </c>
      <c r="D209" t="str">
        <v>0.5854036359871628</v>
      </c>
      <c r="E209" t="str">
        <v>0.7384916026418182</v>
      </c>
      <c r="F209" t="str">
        <v>0.7308579866170474</v>
      </c>
      <c r="G209" t="str">
        <v>0.7462863639376294</v>
      </c>
    </row>
    <row r="210" spans="1:7" x14ac:dyDescent="0.3">
      <c r="A210" t="s">
        <v>426</v>
      </c>
      <c r="B210" t="str" cm="1">
        <f t="array" ref="B210:G210">_xlfn.TEXTSPLIT(A210,",")</f>
        <v>SegFormer_DICE_2_Fold_2</v>
      </c>
      <c r="C210" t="str">
        <v>venous_anomalies</v>
      </c>
      <c r="D210" t="str">
        <v>0.06617481233283602</v>
      </c>
      <c r="E210" t="str">
        <v>0.12413501344689001</v>
      </c>
      <c r="F210" t="str">
        <v>0.1441858832612121</v>
      </c>
      <c r="G210" t="str">
        <v>0.10897997081831456</v>
      </c>
    </row>
    <row r="211" spans="1:7" x14ac:dyDescent="0.3">
      <c r="A211" t="s">
        <v>427</v>
      </c>
      <c r="B211" t="str" cm="1">
        <f t="array" ref="B211:G211">_xlfn.TEXTSPLIT(A211,",")</f>
        <v>SegFormer_DICE_2_Fold_2</v>
      </c>
      <c r="C211" t="str">
        <v>MEAN</v>
      </c>
      <c r="D211" t="str">
        <v>0.492154289333301</v>
      </c>
      <c r="E211" t="str">
        <v>0.6346925474971348</v>
      </c>
      <c r="F211" t="str">
        <v>0.6374904387418532</v>
      </c>
      <c r="G211" t="str">
        <v>0.6444774932425901</v>
      </c>
    </row>
    <row r="212" spans="1:7" x14ac:dyDescent="0.3">
      <c r="A212" t="s">
        <v>428</v>
      </c>
      <c r="B212" t="str" cm="1">
        <f t="array" ref="B212:G212">_xlfn.TEXTSPLIT(A212,",")</f>
        <v>SegFormer_DICE_3_Fold_3</v>
      </c>
      <c r="C212" t="str">
        <v>drusen</v>
      </c>
      <c r="D212" t="str">
        <v>0.37128343929180074</v>
      </c>
      <c r="E212" t="str">
        <v>0.5415123214549286</v>
      </c>
      <c r="F212" t="str">
        <v>0.6024961268701013</v>
      </c>
      <c r="G212" t="str">
        <v>0.4917391777099577</v>
      </c>
    </row>
    <row r="213" spans="1:7" x14ac:dyDescent="0.3">
      <c r="A213" t="s">
        <v>429</v>
      </c>
      <c r="B213" t="str" cm="1">
        <f t="array" ref="B213:G213">_xlfn.TEXTSPLIT(A213,",")</f>
        <v>SegFormer_DICE_3_Fold_3</v>
      </c>
      <c r="C213" t="str">
        <v>edema</v>
      </c>
      <c r="D213" t="str">
        <v>0.2599032059598248</v>
      </c>
      <c r="E213" t="str">
        <v>0.41257646576400964</v>
      </c>
      <c r="F213" t="str">
        <v>0.47061180110712003</v>
      </c>
      <c r="G213" t="str">
        <v>0.36728346804520934</v>
      </c>
    </row>
    <row r="214" spans="1:7" x14ac:dyDescent="0.3">
      <c r="A214" t="s">
        <v>430</v>
      </c>
      <c r="B214" t="str" cm="1">
        <f t="array" ref="B214:G214">_xlfn.TEXTSPLIT(A214,",")</f>
        <v>SegFormer_DICE_3_Fold_3</v>
      </c>
      <c r="C214" t="str">
        <v>epiretinal_fibrosis</v>
      </c>
      <c r="D214" t="str">
        <v>0.567389210657072</v>
      </c>
      <c r="E214" t="str">
        <v>0.7239927476841752</v>
      </c>
      <c r="F214" t="str">
        <v>0.7272598760534472</v>
      </c>
      <c r="G214" t="str">
        <v>0.7207548424037528</v>
      </c>
    </row>
    <row r="215" spans="1:7" x14ac:dyDescent="0.3">
      <c r="A215" t="s">
        <v>431</v>
      </c>
      <c r="B215" t="str" cm="1">
        <f t="array" ref="B215:G215">_xlfn.TEXTSPLIT(A215,",")</f>
        <v>SegFormer_DICE_3_Fold_3</v>
      </c>
      <c r="C215" t="str">
        <v>fibrosis</v>
      </c>
      <c r="D215" t="str">
        <v>0.39769785716389744</v>
      </c>
      <c r="E215" t="str">
        <v>0.5690755768501725</v>
      </c>
      <c r="F215" t="str">
        <v>0.5876064553880233</v>
      </c>
      <c r="G215" t="str">
        <v>0.5516777532824181</v>
      </c>
    </row>
    <row r="216" spans="1:7" x14ac:dyDescent="0.3">
      <c r="A216" t="s">
        <v>432</v>
      </c>
      <c r="B216" t="str" cm="1">
        <f t="array" ref="B216:G216">_xlfn.TEXTSPLIT(A216,",")</f>
        <v>SegFormer_DICE_3_Fold_3</v>
      </c>
      <c r="C216" t="str">
        <v>geographic_atrophy</v>
      </c>
      <c r="D216" t="str">
        <v>0.7344019808636346</v>
      </c>
      <c r="E216" t="str">
        <v>0.8468647856340014</v>
      </c>
      <c r="F216" t="str">
        <v>0.831460626677085</v>
      </c>
      <c r="G216" t="str">
        <v>0.8628504928600726</v>
      </c>
    </row>
    <row r="217" spans="1:7" x14ac:dyDescent="0.3">
      <c r="A217" t="s">
        <v>433</v>
      </c>
      <c r="B217" t="str" cm="1">
        <f t="array" ref="B217:G217">_xlfn.TEXTSPLIT(A217,",")</f>
        <v>SegFormer_DICE_3_Fold_3</v>
      </c>
      <c r="C217" t="str">
        <v>hard_exudates</v>
      </c>
      <c r="D217" t="str">
        <v>0.5877980027066958</v>
      </c>
      <c r="E217" t="str">
        <v>0.7403939313498129</v>
      </c>
      <c r="F217" t="str">
        <v>0.7977466968441284</v>
      </c>
      <c r="G217" t="str">
        <v>0.6907346327671621</v>
      </c>
    </row>
    <row r="218" spans="1:7" x14ac:dyDescent="0.3">
      <c r="A218" t="s">
        <v>434</v>
      </c>
      <c r="B218" t="str" cm="1">
        <f t="array" ref="B218:G218">_xlfn.TEXTSPLIT(A218,",")</f>
        <v>SegFormer_DICE_3_Fold_3</v>
      </c>
      <c r="C218" t="str">
        <v>hemorrhages</v>
      </c>
      <c r="D218" t="str">
        <v>0.537897566754418</v>
      </c>
      <c r="E218" t="str">
        <v>0.6995232691467197</v>
      </c>
      <c r="F218" t="str">
        <v>0.6952342231852128</v>
      </c>
      <c r="G218" t="str">
        <v>0.7038655636606846</v>
      </c>
    </row>
    <row r="219" spans="1:7" x14ac:dyDescent="0.3">
      <c r="A219" t="s">
        <v>435</v>
      </c>
      <c r="B219" t="str" cm="1">
        <f t="array" ref="B219:G219">_xlfn.TEXTSPLIT(A219,",")</f>
        <v>SegFormer_DICE_3_Fold_3</v>
      </c>
      <c r="C219" t="str">
        <v>laser_coagulates</v>
      </c>
      <c r="D219" t="str">
        <v>0.6711169198610856</v>
      </c>
      <c r="E219" t="str">
        <v>0.8031956494305297</v>
      </c>
      <c r="F219" t="str">
        <v>0.7920108291365967</v>
      </c>
      <c r="G219" t="str">
        <v>0.8147009001496394</v>
      </c>
    </row>
    <row r="220" spans="1:7" x14ac:dyDescent="0.3">
      <c r="A220" t="s">
        <v>436</v>
      </c>
      <c r="B220" t="str" cm="1">
        <f t="array" ref="B220:G220">_xlfn.TEXTSPLIT(A220,",")</f>
        <v>SegFormer_DICE_3_Fold_3</v>
      </c>
      <c r="C220" t="str">
        <v>macular_hole</v>
      </c>
      <c r="D220" t="str">
        <v>0.7922081569667965</v>
      </c>
      <c r="E220" t="str">
        <v>0.8840581981364941</v>
      </c>
      <c r="F220" t="str">
        <v>0.8120425409404373</v>
      </c>
      <c r="G220" t="str">
        <v>0.9700902512101329</v>
      </c>
    </row>
    <row r="221" spans="1:7" x14ac:dyDescent="0.3">
      <c r="A221" t="s">
        <v>437</v>
      </c>
      <c r="B221" t="str" cm="1">
        <f t="array" ref="B221:G221">_xlfn.TEXTSPLIT(A221,",")</f>
        <v>SegFormer_DICE_3_Fold_3</v>
      </c>
      <c r="C221" t="str">
        <v>microaneurysms</v>
      </c>
      <c r="D221" t="str">
        <v>0.21664400854526095</v>
      </c>
      <c r="E221" t="str">
        <v>0.35613376965428334</v>
      </c>
      <c r="F221" t="str">
        <v>0.36986840741866484</v>
      </c>
      <c r="G221" t="str">
        <v>0.3433826500180571</v>
      </c>
    </row>
    <row r="222" spans="1:7" x14ac:dyDescent="0.3">
      <c r="A222" t="s">
        <v>438</v>
      </c>
      <c r="B222" t="str" cm="1">
        <f t="array" ref="B222:G222">_xlfn.TEXTSPLIT(A222,",")</f>
        <v>SegFormer_DICE_3_Fold_3</v>
      </c>
      <c r="C222" t="str">
        <v>neovascularization</v>
      </c>
      <c r="D222" t="str">
        <v>0.591616643116962</v>
      </c>
      <c r="E222" t="str">
        <v>0.7434160049474756</v>
      </c>
      <c r="F222" t="str">
        <v>0.728696647241832</v>
      </c>
      <c r="G222" t="str">
        <v>0.758742271288547</v>
      </c>
    </row>
    <row r="223" spans="1:7" x14ac:dyDescent="0.3">
      <c r="A223" t="s">
        <v>439</v>
      </c>
      <c r="B223" t="str" cm="1">
        <f t="array" ref="B223:G223">_xlfn.TEXTSPLIT(A223,",")</f>
        <v>SegFormer_DICE_3_Fold_3</v>
      </c>
      <c r="C223" t="str">
        <v>soft_exudates</v>
      </c>
      <c r="D223" t="str">
        <v>0.5330314057394242</v>
      </c>
      <c r="E223" t="str">
        <v>0.6953952851113682</v>
      </c>
      <c r="F223" t="str">
        <v>0.7050057721847638</v>
      </c>
      <c r="G223" t="str">
        <v>0.6860432905101947</v>
      </c>
    </row>
    <row r="224" spans="1:7" x14ac:dyDescent="0.3">
      <c r="A224" t="s">
        <v>440</v>
      </c>
      <c r="B224" t="str" cm="1">
        <f t="array" ref="B224:G224">_xlfn.TEXTSPLIT(A224,",")</f>
        <v>SegFormer_DICE_3_Fold_3</v>
      </c>
      <c r="C224" t="str">
        <v>subretinal_hemorrhage</v>
      </c>
      <c r="D224" t="str">
        <v>0.4684193607936629</v>
      </c>
      <c r="E224" t="str">
        <v>0.6379912623060049</v>
      </c>
      <c r="F224" t="str">
        <v>0.6917243133092956</v>
      </c>
      <c r="G224" t="str">
        <v>0.5920044377358842</v>
      </c>
    </row>
    <row r="225" spans="1:7" x14ac:dyDescent="0.3">
      <c r="A225" t="s">
        <v>441</v>
      </c>
      <c r="B225" t="str" cm="1">
        <f t="array" ref="B225:G225">_xlfn.TEXTSPLIT(A225,",")</f>
        <v>SegFormer_DICE_3_Fold_3</v>
      </c>
      <c r="C225" t="str">
        <v>venous_anomalies</v>
      </c>
      <c r="D225" t="str">
        <v>0.2130899427600515</v>
      </c>
      <c r="E225" t="str">
        <v>0.35131763152734435</v>
      </c>
      <c r="F225" t="str">
        <v>0.5260939697916468</v>
      </c>
      <c r="G225" t="str">
        <v>0.26370939859135095</v>
      </c>
    </row>
    <row r="226" spans="1:7" x14ac:dyDescent="0.3">
      <c r="A226" t="s">
        <v>442</v>
      </c>
      <c r="B226" t="str" cm="1">
        <f t="array" ref="B226:G226">_xlfn.TEXTSPLIT(A226,",")</f>
        <v>SegFormer_DICE_3_Fold_3</v>
      </c>
      <c r="C226" t="str">
        <v>MEAN</v>
      </c>
      <c r="D226" t="str">
        <v>0.4958926929414706</v>
      </c>
      <c r="E226" t="str">
        <v>0.6432462070712371</v>
      </c>
      <c r="F226" t="str">
        <v>0.6669898775820254</v>
      </c>
      <c r="G226" t="str">
        <v>0.6298270807309331</v>
      </c>
    </row>
    <row r="227" spans="1:7" x14ac:dyDescent="0.3">
      <c r="A227" t="s">
        <v>447</v>
      </c>
      <c r="B227" t="str" cm="1">
        <f t="array" ref="B227:G227">_xlfn.TEXTSPLIT(A227,",")</f>
        <v>SegFormer_TVERSKY_1_Fold_1</v>
      </c>
      <c r="C227" t="str">
        <v>drusen</v>
      </c>
      <c r="D227" t="str">
        <v>0.3999012491868875</v>
      </c>
      <c r="E227" t="str">
        <v>0.5713277981845711</v>
      </c>
      <c r="F227" t="str">
        <v>0.623072366316216</v>
      </c>
      <c r="G227" t="str">
        <v>0.5275187165365685</v>
      </c>
    </row>
    <row r="228" spans="1:7" x14ac:dyDescent="0.3">
      <c r="A228" t="s">
        <v>448</v>
      </c>
      <c r="B228" t="str" cm="1">
        <f t="array" ref="B228:G228">_xlfn.TEXTSPLIT(A228,",")</f>
        <v>SegFormer_TVERSKY_1_Fold_1</v>
      </c>
      <c r="C228" t="str">
        <v>edema</v>
      </c>
      <c r="D228" t="str">
        <v>0.39874914265781647</v>
      </c>
      <c r="E228" t="str">
        <v>0.5701510449545486</v>
      </c>
      <c r="F228" t="str">
        <v>0.5736634102216689</v>
      </c>
      <c r="G228" t="str">
        <v>0.5666814282236381</v>
      </c>
    </row>
    <row r="229" spans="1:7" x14ac:dyDescent="0.3">
      <c r="A229" t="s">
        <v>449</v>
      </c>
      <c r="B229" t="str" cm="1">
        <f t="array" ref="B229:G229">_xlfn.TEXTSPLIT(A229,",")</f>
        <v>SegFormer_TVERSKY_1_Fold_1</v>
      </c>
      <c r="C229" t="str">
        <v>epiretinal_fibrosis</v>
      </c>
      <c r="D229" t="str">
        <v>0.6541726703063814</v>
      </c>
      <c r="E229" t="str">
        <v>0.7909363781052159</v>
      </c>
      <c r="F229" t="str">
        <v>0.7520256478129854</v>
      </c>
      <c r="G229" t="str">
        <v>0.8340933943597033</v>
      </c>
    </row>
    <row r="230" spans="1:7" x14ac:dyDescent="0.3">
      <c r="A230" t="s">
        <v>450</v>
      </c>
      <c r="B230" t="str" cm="1">
        <f t="array" ref="B230:G230">_xlfn.TEXTSPLIT(A230,",")</f>
        <v>SegFormer_TVERSKY_1_Fold_1</v>
      </c>
      <c r="C230" t="str">
        <v>fibrosis</v>
      </c>
      <c r="D230" t="str">
        <v>0.43778396618585835</v>
      </c>
      <c r="E230" t="str">
        <v>0.6089704385106034</v>
      </c>
      <c r="F230" t="str">
        <v>0.6398255374885793</v>
      </c>
      <c r="G230" t="str">
        <v>0.5809543573338705</v>
      </c>
    </row>
    <row r="231" spans="1:7" x14ac:dyDescent="0.3">
      <c r="A231" t="s">
        <v>451</v>
      </c>
      <c r="B231" t="str" cm="1">
        <f t="array" ref="B231:G231">_xlfn.TEXTSPLIT(A231,",")</f>
        <v>SegFormer_TVERSKY_1_Fold_1</v>
      </c>
      <c r="C231" t="str">
        <v>geographic_atrophy</v>
      </c>
      <c r="D231" t="str">
        <v>0.814696907262667</v>
      </c>
      <c r="E231" t="str">
        <v>0.8978875800164069</v>
      </c>
      <c r="F231" t="str">
        <v>0.8645856974200281</v>
      </c>
      <c r="G231" t="str">
        <v>0.9338576617637483</v>
      </c>
    </row>
    <row r="232" spans="1:7" x14ac:dyDescent="0.3">
      <c r="A232" t="s">
        <v>452</v>
      </c>
      <c r="B232" t="str" cm="1">
        <f t="array" ref="B232:G232">_xlfn.TEXTSPLIT(A232,",")</f>
        <v>SegFormer_TVERSKY_1_Fold_1</v>
      </c>
      <c r="C232" t="str">
        <v>hard_exudates</v>
      </c>
      <c r="D232" t="str">
        <v>0.5258343778927733</v>
      </c>
      <c r="E232" t="str">
        <v>0.6892417493161579</v>
      </c>
      <c r="F232" t="str">
        <v>0.6725506752438506</v>
      </c>
      <c r="G232" t="str">
        <v>0.7067823709232878</v>
      </c>
    </row>
    <row r="233" spans="1:7" x14ac:dyDescent="0.3">
      <c r="A233" t="s">
        <v>453</v>
      </c>
      <c r="B233" t="str" cm="1">
        <f t="array" ref="B233:G233">_xlfn.TEXTSPLIT(A233,",")</f>
        <v>SegFormer_TVERSKY_1_Fold_1</v>
      </c>
      <c r="C233" t="str">
        <v>hemorrhages</v>
      </c>
      <c r="D233" t="str">
        <v>0.5834625909510883</v>
      </c>
      <c r="E233" t="str">
        <v>0.7369452164962588</v>
      </c>
      <c r="F233" t="str">
        <v>0.7712171872727156</v>
      </c>
      <c r="G233" t="str">
        <v>0.7055896548835082</v>
      </c>
    </row>
    <row r="234" spans="1:7" x14ac:dyDescent="0.3">
      <c r="A234" t="s">
        <v>454</v>
      </c>
      <c r="B234" t="str" cm="1">
        <f t="array" ref="B234:G234">_xlfn.TEXTSPLIT(A234,",")</f>
        <v>SegFormer_TVERSKY_1_Fold_1</v>
      </c>
      <c r="C234" t="str">
        <v>laser_coagulates</v>
      </c>
      <c r="D234" t="str">
        <v>0.6668867260557192</v>
      </c>
      <c r="E234" t="str">
        <v>0.8001584218427894</v>
      </c>
      <c r="F234" t="str">
        <v>0.717210965780766</v>
      </c>
      <c r="G234" t="str">
        <v>0.9048012154474255</v>
      </c>
    </row>
    <row r="235" spans="1:7" x14ac:dyDescent="0.3">
      <c r="A235" t="s">
        <v>455</v>
      </c>
      <c r="B235" t="str" cm="1">
        <f t="array" ref="B235:G235">_xlfn.TEXTSPLIT(A235,",")</f>
        <v>SegFormer_TVERSKY_1_Fold_1</v>
      </c>
      <c r="C235" t="str">
        <v>macular_hole</v>
      </c>
      <c r="D235" t="str">
        <v>0.8438730560592232</v>
      </c>
      <c r="E235" t="str">
        <v>0.9153266308503604</v>
      </c>
      <c r="F235" t="str">
        <v>0.8779527385059468</v>
      </c>
      <c r="G235" t="str">
        <v>0.9560239659277278</v>
      </c>
    </row>
    <row r="236" spans="1:7" x14ac:dyDescent="0.3">
      <c r="A236" t="s">
        <v>456</v>
      </c>
      <c r="B236" t="str" cm="1">
        <f t="array" ref="B236:G236">_xlfn.TEXTSPLIT(A236,",")</f>
        <v>SegFormer_TVERSKY_1_Fold_1</v>
      </c>
      <c r="C236" t="str">
        <v>microaneurysms</v>
      </c>
      <c r="D236" t="str">
        <v>0.22321324527498584</v>
      </c>
      <c r="E236" t="str">
        <v>0.3649621129221931</v>
      </c>
      <c r="F236" t="str">
        <v>0.3233052181170606</v>
      </c>
      <c r="G236" t="str">
        <v>0.4189414449026334</v>
      </c>
    </row>
    <row r="237" spans="1:7" x14ac:dyDescent="0.3">
      <c r="A237" t="s">
        <v>457</v>
      </c>
      <c r="B237" t="str" cm="1">
        <f t="array" ref="B237:G237">_xlfn.TEXTSPLIT(A237,",")</f>
        <v>SegFormer_TVERSKY_1_Fold_1</v>
      </c>
      <c r="C237" t="str">
        <v>neovascularization</v>
      </c>
      <c r="D237" t="str">
        <v>0.5771122577384485</v>
      </c>
      <c r="E237" t="str">
        <v>0.7318594537664903</v>
      </c>
      <c r="F237" t="str">
        <v>0.7437802369268592</v>
      </c>
      <c r="G237" t="str">
        <v>0.7203147586816203</v>
      </c>
    </row>
    <row r="238" spans="1:7" x14ac:dyDescent="0.3">
      <c r="A238" t="s">
        <v>458</v>
      </c>
      <c r="B238" t="str" cm="1">
        <f t="array" ref="B238:G238">_xlfn.TEXTSPLIT(A238,",")</f>
        <v>SegFormer_TVERSKY_1_Fold_1</v>
      </c>
      <c r="C238" t="str">
        <v>soft_exudates</v>
      </c>
      <c r="D238" t="str">
        <v>0.52245565758075</v>
      </c>
      <c r="E238" t="str">
        <v>0.6863328399474771</v>
      </c>
      <c r="F238" t="str">
        <v>0.7230480176104749</v>
      </c>
      <c r="G238" t="str">
        <v>0.6531661475998997</v>
      </c>
    </row>
    <row r="239" spans="1:7" x14ac:dyDescent="0.3">
      <c r="A239" t="s">
        <v>459</v>
      </c>
      <c r="B239" t="str" cm="1">
        <f t="array" ref="B239:G239">_xlfn.TEXTSPLIT(A239,",")</f>
        <v>SegFormer_TVERSKY_1_Fold_1</v>
      </c>
      <c r="C239" t="str">
        <v>subretinal_hemorrhage</v>
      </c>
      <c r="D239" t="str">
        <v>0.535109075438257</v>
      </c>
      <c r="E239" t="str">
        <v>0.697160982238984</v>
      </c>
      <c r="F239" t="str">
        <v>0.7434755876049517</v>
      </c>
      <c r="G239" t="str">
        <v>0.6562783072496997</v>
      </c>
    </row>
    <row r="240" spans="1:7" x14ac:dyDescent="0.3">
      <c r="A240" t="s">
        <v>460</v>
      </c>
      <c r="B240" t="str" cm="1">
        <f t="array" ref="B240:G240">_xlfn.TEXTSPLIT(A240,",")</f>
        <v>SegFormer_TVERSKY_1_Fold_1</v>
      </c>
      <c r="C240" t="str">
        <v>venous_anomalies</v>
      </c>
      <c r="D240" t="str">
        <v>0.0868307161055791</v>
      </c>
      <c r="E240" t="str">
        <v>0.1597870115719917</v>
      </c>
      <c r="F240" t="str">
        <v>0.42795553170819994</v>
      </c>
      <c r="G240" t="str">
        <v>0.09823211152690547</v>
      </c>
    </row>
    <row r="241" spans="1:7" x14ac:dyDescent="0.3">
      <c r="A241" t="s">
        <v>461</v>
      </c>
      <c r="B241" t="str" cm="1">
        <f t="array" ref="B241:G241">_xlfn.TEXTSPLIT(A241,",")</f>
        <v>SegFormer_TVERSKY_1_Fold_1</v>
      </c>
      <c r="C241" t="str">
        <v>MEAN</v>
      </c>
      <c r="D241" t="str">
        <v>0.5192915456211739</v>
      </c>
      <c r="E241" t="str">
        <v>0.658646261337432</v>
      </c>
      <c r="F241" t="str">
        <v>0.675262058430736</v>
      </c>
      <c r="G241" t="str">
        <v>0.6616596810971599</v>
      </c>
    </row>
    <row r="242" spans="1:7" x14ac:dyDescent="0.3">
      <c r="A242" t="s">
        <v>462</v>
      </c>
      <c r="B242" t="str" cm="1">
        <f t="array" ref="B242:G242">_xlfn.TEXTSPLIT(A242,",")</f>
        <v>SegFormer_TVERSKY_2_Fold_2</v>
      </c>
      <c r="C242" t="str">
        <v>drusen</v>
      </c>
      <c r="D242" t="str">
        <v>0.36255230957760437</v>
      </c>
      <c r="E242" t="str">
        <v>0.532166445323478</v>
      </c>
      <c r="F242" t="str">
        <v>0.5178795409155177</v>
      </c>
      <c r="G242" t="str">
        <v>0.5472639876270703</v>
      </c>
    </row>
    <row r="243" spans="1:7" x14ac:dyDescent="0.3">
      <c r="A243" t="s">
        <v>463</v>
      </c>
      <c r="B243" t="str" cm="1">
        <f t="array" ref="B243:G243">_xlfn.TEXTSPLIT(A243,",")</f>
        <v>SegFormer_TVERSKY_2_Fold_2</v>
      </c>
      <c r="C243" t="str">
        <v>edema</v>
      </c>
      <c r="D243" t="str">
        <v>0.4027157493452426</v>
      </c>
      <c r="E243" t="str">
        <v>0.5741943790582256</v>
      </c>
      <c r="F243" t="str">
        <v>0.587121647231615</v>
      </c>
      <c r="G243" t="str">
        <v>0.5618241130162817</v>
      </c>
    </row>
    <row r="244" spans="1:7" x14ac:dyDescent="0.3">
      <c r="A244" t="s">
        <v>464</v>
      </c>
      <c r="B244" t="str" cm="1">
        <f t="array" ref="B244:G244">_xlfn.TEXTSPLIT(A244,",")</f>
        <v>SegFormer_TVERSKY_2_Fold_2</v>
      </c>
      <c r="C244" t="str">
        <v>epiretinal_fibrosis</v>
      </c>
      <c r="D244" t="str">
        <v>0.6319532353370595</v>
      </c>
      <c r="E244" t="str">
        <v>0.7744746867167888</v>
      </c>
      <c r="F244" t="str">
        <v>0.7185058427424821</v>
      </c>
      <c r="G244" t="str">
        <v>0.8398996410717741</v>
      </c>
    </row>
    <row r="245" spans="1:7" x14ac:dyDescent="0.3">
      <c r="A245" t="s">
        <v>465</v>
      </c>
      <c r="B245" t="str" cm="1">
        <f t="array" ref="B245:G245">_xlfn.TEXTSPLIT(A245,",")</f>
        <v>SegFormer_TVERSKY_2_Fold_2</v>
      </c>
      <c r="C245" t="str">
        <v>fibrosis</v>
      </c>
      <c r="D245" t="str">
        <v>0.39598914908645066</v>
      </c>
      <c r="E245" t="str">
        <v>0.567324107562856</v>
      </c>
      <c r="F245" t="str">
        <v>0.6459062628218964</v>
      </c>
      <c r="G245" t="str">
        <v>0.505788891829808</v>
      </c>
    </row>
    <row r="246" spans="1:7" x14ac:dyDescent="0.3">
      <c r="A246" t="s">
        <v>466</v>
      </c>
      <c r="B246" t="str" cm="1">
        <f t="array" ref="B246:G246">_xlfn.TEXTSPLIT(A246,",")</f>
        <v>SegFormer_TVERSKY_2_Fold_2</v>
      </c>
      <c r="C246" t="str">
        <v>geographic_atrophy</v>
      </c>
      <c r="D246" t="str">
        <v>0.7411620696094463</v>
      </c>
      <c r="E246" t="str">
        <v>0.8513418509923016</v>
      </c>
      <c r="F246" t="str">
        <v>0.8151316319489854</v>
      </c>
      <c r="G246" t="str">
        <v>0.8909187253655099</v>
      </c>
    </row>
    <row r="247" spans="1:7" x14ac:dyDescent="0.3">
      <c r="A247" t="s">
        <v>467</v>
      </c>
      <c r="B247" t="str" cm="1">
        <f t="array" ref="B247:G247">_xlfn.TEXTSPLIT(A247,",")</f>
        <v>SegFormer_TVERSKY_2_Fold_2</v>
      </c>
      <c r="C247" t="str">
        <v>hard_exudates</v>
      </c>
      <c r="D247" t="str">
        <v>0.5915065111752839</v>
      </c>
      <c r="E247" t="str">
        <v>0.7433290495789081</v>
      </c>
      <c r="F247" t="str">
        <v>0.72862164773592</v>
      </c>
      <c r="G247" t="str">
        <v>0.7586424280366244</v>
      </c>
    </row>
    <row r="248" spans="1:7" x14ac:dyDescent="0.3">
      <c r="A248" t="s">
        <v>468</v>
      </c>
      <c r="B248" t="str" cm="1">
        <f t="array" ref="B248:G248">_xlfn.TEXTSPLIT(A248,",")</f>
        <v>SegFormer_TVERSKY_2_Fold_2</v>
      </c>
      <c r="C248" t="str">
        <v>hemorrhages</v>
      </c>
      <c r="D248" t="str">
        <v>0.6132673594393712</v>
      </c>
      <c r="E248" t="str">
        <v>0.7602798827498606</v>
      </c>
      <c r="F248" t="str">
        <v>0.7463460859536964</v>
      </c>
      <c r="G248" t="str">
        <v>0.7747438473108974</v>
      </c>
    </row>
    <row r="249" spans="1:7" x14ac:dyDescent="0.3">
      <c r="A249" t="s">
        <v>469</v>
      </c>
      <c r="B249" t="str" cm="1">
        <f t="array" ref="B249:G249">_xlfn.TEXTSPLIT(A249,",")</f>
        <v>SegFormer_TVERSKY_2_Fold_2</v>
      </c>
      <c r="C249" t="str">
        <v>laser_coagulates</v>
      </c>
      <c r="D249" t="str">
        <v>0.5701107696395402</v>
      </c>
      <c r="E249" t="str">
        <v>0.7262045209337987</v>
      </c>
      <c r="F249" t="str">
        <v>0.6118776483898457</v>
      </c>
      <c r="G249" t="str">
        <v>0.8930712926004294</v>
      </c>
    </row>
    <row r="250" spans="1:7" x14ac:dyDescent="0.3">
      <c r="A250" t="s">
        <v>470</v>
      </c>
      <c r="B250" t="str" cm="1">
        <f t="array" ref="B250:G250">_xlfn.TEXTSPLIT(A250,",")</f>
        <v>SegFormer_TVERSKY_2_Fold_2</v>
      </c>
      <c r="C250" t="str">
        <v>macular_hole</v>
      </c>
      <c r="D250" t="str">
        <v>0.7338527105027858</v>
      </c>
      <c r="E250" t="str">
        <v>0.8464994818273599</v>
      </c>
      <c r="F250" t="str">
        <v>0.7602210760234589</v>
      </c>
      <c r="G250" t="str">
        <v>0.9548686785454825</v>
      </c>
    </row>
    <row r="251" spans="1:7" x14ac:dyDescent="0.3">
      <c r="A251" t="s">
        <v>471</v>
      </c>
      <c r="B251" t="str" cm="1">
        <f t="array" ref="B251:G251">_xlfn.TEXTSPLIT(A251,",")</f>
        <v>SegFormer_TVERSKY_2_Fold_2</v>
      </c>
      <c r="C251" t="str">
        <v>microaneurysms</v>
      </c>
      <c r="D251" t="str">
        <v>0.21020259850746753</v>
      </c>
      <c r="E251" t="str">
        <v>0.3473841466985918</v>
      </c>
      <c r="F251" t="str">
        <v>0.2793797529187613</v>
      </c>
      <c r="G251" t="str">
        <v>0.45914574654221</v>
      </c>
    </row>
    <row r="252" spans="1:7" x14ac:dyDescent="0.3">
      <c r="A252" t="s">
        <v>472</v>
      </c>
      <c r="B252" t="str" cm="1">
        <f t="array" ref="B252:G252">_xlfn.TEXTSPLIT(A252,",")</f>
        <v>SegFormer_TVERSKY_2_Fold_2</v>
      </c>
      <c r="C252" t="str">
        <v>neovascularization</v>
      </c>
      <c r="D252" t="str">
        <v>0.6009560537123017</v>
      </c>
      <c r="E252" t="str">
        <v>0.750746470921301</v>
      </c>
      <c r="F252" t="str">
        <v>0.7218335910757787</v>
      </c>
      <c r="G252" t="str">
        <v>0.7820721942780865</v>
      </c>
    </row>
    <row r="253" spans="1:7" x14ac:dyDescent="0.3">
      <c r="A253" t="s">
        <v>473</v>
      </c>
      <c r="B253" t="str" cm="1">
        <f t="array" ref="B253:G253">_xlfn.TEXTSPLIT(A253,",")</f>
        <v>SegFormer_TVERSKY_2_Fold_2</v>
      </c>
      <c r="C253" t="str">
        <v>soft_exudates</v>
      </c>
      <c r="D253" t="str">
        <v>0.33854072065187235</v>
      </c>
      <c r="E253" t="str">
        <v>0.5058355198742138</v>
      </c>
      <c r="F253" t="str">
        <v>0.6010065560965026</v>
      </c>
      <c r="G253" t="str">
        <v>0.4366852181184015</v>
      </c>
    </row>
    <row r="254" spans="1:7" x14ac:dyDescent="0.3">
      <c r="A254" t="s">
        <v>474</v>
      </c>
      <c r="B254" t="str" cm="1">
        <f t="array" ref="B254:G254">_xlfn.TEXTSPLIT(A254,",")</f>
        <v>SegFormer_TVERSKY_2_Fold_2</v>
      </c>
      <c r="C254" t="str">
        <v>subretinal_hemorrhage</v>
      </c>
      <c r="D254" t="str">
        <v>0.5551459890145589</v>
      </c>
      <c r="E254" t="str">
        <v>0.7139471058486738</v>
      </c>
      <c r="F254" t="str">
        <v>0.7148501952083095</v>
      </c>
      <c r="G254" t="str">
        <v>0.7130462954038725</v>
      </c>
    </row>
    <row r="255" spans="1:7" x14ac:dyDescent="0.3">
      <c r="A255" t="s">
        <v>475</v>
      </c>
      <c r="B255" t="str" cm="1">
        <f t="array" ref="B255:G255">_xlfn.TEXTSPLIT(A255,",")</f>
        <v>SegFormer_TVERSKY_2_Fold_2</v>
      </c>
      <c r="C255" t="str">
        <v>venous_anomalies</v>
      </c>
      <c r="D255" t="str">
        <v>0.10443049746770024</v>
      </c>
      <c r="E255" t="str">
        <v>0.18911194087295544</v>
      </c>
      <c r="F255" t="str">
        <v>0.20742249759844686</v>
      </c>
      <c r="G255" t="str">
        <v>0.17377194145981006</v>
      </c>
    </row>
    <row r="256" spans="1:7" x14ac:dyDescent="0.3">
      <c r="A256" t="s">
        <v>476</v>
      </c>
      <c r="B256" t="str" cm="1">
        <f t="array" ref="B256:G256">_xlfn.TEXTSPLIT(A256,",")</f>
        <v>SegFormer_TVERSKY_2_Fold_2</v>
      </c>
      <c r="C256" t="str">
        <v>MEAN</v>
      </c>
      <c r="D256" t="str">
        <v>0.48945612307619174</v>
      </c>
      <c r="E256" t="str">
        <v>0.6344885420685223</v>
      </c>
      <c r="F256" t="str">
        <v>0.6182931411900869</v>
      </c>
      <c r="G256" t="str">
        <v>0.6636959286575898</v>
      </c>
    </row>
    <row r="257" spans="1:7" x14ac:dyDescent="0.3">
      <c r="A257" t="s">
        <v>479</v>
      </c>
      <c r="B257" t="str" cm="1">
        <f t="array" ref="B257:G257">_xlfn.TEXTSPLIT(A257,",")</f>
        <v>SegFormer_TVERSKY_3_Fold_3</v>
      </c>
      <c r="C257" t="str">
        <v>drusen</v>
      </c>
      <c r="D257" t="str">
        <v>0.37988260144632524</v>
      </c>
      <c r="E257" t="str">
        <v>0.5506013352848292</v>
      </c>
      <c r="F257" t="str">
        <v>0.510885482800802</v>
      </c>
      <c r="G257" t="str">
        <v>0.5970126487537553</v>
      </c>
    </row>
    <row r="258" spans="1:7" x14ac:dyDescent="0.3">
      <c r="A258" t="s">
        <v>480</v>
      </c>
      <c r="B258" t="str" cm="1">
        <f t="array" ref="B258:G258">_xlfn.TEXTSPLIT(A258,",")</f>
        <v>SegFormer_TVERSKY_3_Fold_3</v>
      </c>
      <c r="C258" t="str">
        <v>edema</v>
      </c>
      <c r="D258" t="str">
        <v>0.27044703059325853</v>
      </c>
      <c r="E258" t="str">
        <v>0.425750974390437</v>
      </c>
      <c r="F258" t="str">
        <v>0.44946861255712806</v>
      </c>
      <c r="G258" t="str">
        <v>0.40441094698206836</v>
      </c>
    </row>
    <row r="259" spans="1:7" x14ac:dyDescent="0.3">
      <c r="A259" t="s">
        <v>481</v>
      </c>
      <c r="B259" t="str" cm="1">
        <f t="array" ref="B259:G259">_xlfn.TEXTSPLIT(A259,",")</f>
        <v>SegFormer_TVERSKY_3_Fold_3</v>
      </c>
      <c r="C259" t="str">
        <v>epiretinal_fibrosis</v>
      </c>
      <c r="D259" t="str">
        <v>0.573669661464081</v>
      </c>
      <c r="E259" t="str">
        <v>0.7290852400755583</v>
      </c>
      <c r="F259" t="str">
        <v>0.708639000465737</v>
      </c>
      <c r="G259" t="str">
        <v>0.7507463971851209</v>
      </c>
    </row>
    <row r="260" spans="1:7" x14ac:dyDescent="0.3">
      <c r="A260" t="s">
        <v>482</v>
      </c>
      <c r="B260" t="str" cm="1">
        <f t="array" ref="B260:G260">_xlfn.TEXTSPLIT(A260,",")</f>
        <v>SegFormer_TVERSKY_3_Fold_3</v>
      </c>
      <c r="C260" t="str">
        <v>fibrosis</v>
      </c>
      <c r="D260" t="str">
        <v>0.40712980904665874</v>
      </c>
      <c r="E260" t="str">
        <v>0.5786670233679326</v>
      </c>
      <c r="F260" t="str">
        <v>0.5975457050650766</v>
      </c>
      <c r="G260" t="str">
        <v>0.5609447028734734</v>
      </c>
    </row>
    <row r="261" spans="1:7" x14ac:dyDescent="0.3">
      <c r="A261" t="s">
        <v>483</v>
      </c>
      <c r="B261" t="str" cm="1">
        <f t="array" ref="B261:G261">_xlfn.TEXTSPLIT(A261,",")</f>
        <v>SegFormer_TVERSKY_3_Fold_3</v>
      </c>
      <c r="C261" t="str">
        <v>geographic_atrophy</v>
      </c>
      <c r="D261" t="str">
        <v>0.7269220194866429</v>
      </c>
      <c r="E261" t="str">
        <v>0.8418701149027366</v>
      </c>
      <c r="F261" t="str">
        <v>0.7671074401331087</v>
      </c>
      <c r="G261" t="str">
        <v>0.9327792468085647</v>
      </c>
    </row>
    <row r="262" spans="1:7" x14ac:dyDescent="0.3">
      <c r="A262" t="s">
        <v>484</v>
      </c>
      <c r="B262" t="str" cm="1">
        <f t="array" ref="B262:G262">_xlfn.TEXTSPLIT(A262,",")</f>
        <v>SegFormer_TVERSKY_3_Fold_3</v>
      </c>
      <c r="C262" t="str">
        <v>hard_exudates</v>
      </c>
      <c r="D262" t="str">
        <v>0.5781491385163321</v>
      </c>
      <c r="E262" t="str">
        <v>0.732692651671525</v>
      </c>
      <c r="F262" t="str">
        <v>0.7381476102063785</v>
      </c>
      <c r="G262" t="str">
        <v>0.7273177266757249</v>
      </c>
    </row>
    <row r="263" spans="1:7" x14ac:dyDescent="0.3">
      <c r="A263" t="s">
        <v>485</v>
      </c>
      <c r="B263" t="str" cm="1">
        <f t="array" ref="B263:G263">_xlfn.TEXTSPLIT(A263,",")</f>
        <v>SegFormer_TVERSKY_3_Fold_3</v>
      </c>
      <c r="C263" t="str">
        <v>hemorrhages</v>
      </c>
      <c r="D263" t="str">
        <v>0.5534642678990229</v>
      </c>
      <c r="E263" t="str">
        <v>0.7125548740783767</v>
      </c>
      <c r="F263" t="str">
        <v>0.7018670380527143</v>
      </c>
      <c r="G263" t="str">
        <v>0.7235732462040084</v>
      </c>
    </row>
    <row r="264" spans="1:7" x14ac:dyDescent="0.3">
      <c r="A264" t="s">
        <v>486</v>
      </c>
      <c r="B264" t="str" cm="1">
        <f t="array" ref="B264:G264">_xlfn.TEXTSPLIT(A264,",")</f>
        <v>SegFormer_TVERSKY_3_Fold_3</v>
      </c>
      <c r="C264" t="str">
        <v>laser_coagulates</v>
      </c>
      <c r="D264" t="str">
        <v>0.6548540335490185</v>
      </c>
      <c r="E264" t="str">
        <v>0.7914341933162663</v>
      </c>
      <c r="F264" t="str">
        <v>0.7347532170084262</v>
      </c>
      <c r="G264" t="str">
        <v>0.8575912486680876</v>
      </c>
    </row>
    <row r="265" spans="1:7" x14ac:dyDescent="0.3">
      <c r="A265" t="s">
        <v>487</v>
      </c>
      <c r="B265" t="str" cm="1">
        <f t="array" ref="B265:G265">_xlfn.TEXTSPLIT(A265,",")</f>
        <v>SegFormer_TVERSKY_3_Fold_3</v>
      </c>
      <c r="C265" t="str">
        <v>macular_hole</v>
      </c>
      <c r="D265" t="str">
        <v>0.8212359581011387</v>
      </c>
      <c r="E265" t="str">
        <v>0.9018446560404811</v>
      </c>
      <c r="F265" t="str">
        <v>0.8345936752809158</v>
      </c>
      <c r="G265" t="str">
        <v>0.9808835757361652</v>
      </c>
    </row>
    <row r="266" spans="1:7" x14ac:dyDescent="0.3">
      <c r="A266" t="s">
        <v>488</v>
      </c>
      <c r="B266" t="str" cm="1">
        <f t="array" ref="B266:G266">_xlfn.TEXTSPLIT(A266,",")</f>
        <v>SegFormer_TVERSKY_3_Fold_3</v>
      </c>
      <c r="C266" t="str">
        <v>microaneurysms</v>
      </c>
      <c r="D266" t="str">
        <v>0.22614494392346965</v>
      </c>
      <c r="E266" t="str">
        <v>0.3688714699582606</v>
      </c>
      <c r="F266" t="str">
        <v>0.32535303744483923</v>
      </c>
      <c r="G266" t="str">
        <v>0.4258293732481509</v>
      </c>
    </row>
    <row r="267" spans="1:7" x14ac:dyDescent="0.3">
      <c r="A267" t="s">
        <v>489</v>
      </c>
      <c r="B267" t="str" cm="1">
        <f t="array" ref="B267:G267">_xlfn.TEXTSPLIT(A267,",")</f>
        <v>SegFormer_TVERSKY_3_Fold_3</v>
      </c>
      <c r="C267" t="str">
        <v>neovascularization</v>
      </c>
      <c r="D267" t="str">
        <v>0.6006918088327619</v>
      </c>
      <c r="E267" t="str">
        <v>0.750540242060452</v>
      </c>
      <c r="F267" t="str">
        <v>0.6867568258001189</v>
      </c>
      <c r="G267" t="str">
        <v>0.8273846465669366</v>
      </c>
    </row>
    <row r="268" spans="1:7" x14ac:dyDescent="0.3">
      <c r="A268" t="s">
        <v>490</v>
      </c>
      <c r="B268" t="str" cm="1">
        <f t="array" ref="B268:G268">_xlfn.TEXTSPLIT(A268,",")</f>
        <v>SegFormer_TVERSKY_3_Fold_3</v>
      </c>
      <c r="C268" t="str">
        <v>soft_exudates</v>
      </c>
      <c r="D268" t="str">
        <v>0.5020203455991917</v>
      </c>
      <c r="E268" t="str">
        <v>0.6684601138327775</v>
      </c>
      <c r="F268" t="str">
        <v>0.6093527317561844</v>
      </c>
      <c r="G268" t="str">
        <v>0.7402661315924174</v>
      </c>
    </row>
    <row r="269" spans="1:7" x14ac:dyDescent="0.3">
      <c r="A269" t="s">
        <v>491</v>
      </c>
      <c r="B269" t="str" cm="1">
        <f t="array" ref="B269:G269">_xlfn.TEXTSPLIT(A269,",")</f>
        <v>SegFormer_TVERSKY_3_Fold_3</v>
      </c>
      <c r="C269" t="str">
        <v>subretinal_hemorrhage</v>
      </c>
      <c r="D269" t="str">
        <v>0.464995548135682</v>
      </c>
      <c r="E269" t="str">
        <v>0.6348081381235924</v>
      </c>
      <c r="F269" t="str">
        <v>0.6431468422258207</v>
      </c>
      <c r="G269" t="str">
        <v>0.6266828968878667</v>
      </c>
    </row>
    <row r="270" spans="1:7" x14ac:dyDescent="0.3">
      <c r="A270" t="s">
        <v>492</v>
      </c>
      <c r="B270" t="str" cm="1">
        <f t="array" ref="B270:G270">_xlfn.TEXTSPLIT(A270,",")</f>
        <v>SegFormer_TVERSKY_3_Fold_3</v>
      </c>
      <c r="C270" t="str">
        <v>venous_anomalies</v>
      </c>
      <c r="D270" t="str">
        <v>0.28217292368548685</v>
      </c>
      <c r="E270" t="str">
        <v>0.4401479994982378</v>
      </c>
      <c r="F270" t="str">
        <v>0.51889885738136</v>
      </c>
      <c r="G270" t="str">
        <v>0.3821507618675812</v>
      </c>
    </row>
    <row r="271" spans="1:7" x14ac:dyDescent="0.3">
      <c r="A271" t="s">
        <v>493</v>
      </c>
      <c r="B271" t="str" cm="1">
        <f t="array" ref="B271:G271">_xlfn.TEXTSPLIT(A271,",")</f>
        <v>SegFormer_TVERSKY_3_Fold_3</v>
      </c>
      <c r="C271" t="str">
        <v>MEAN</v>
      </c>
      <c r="D271" t="str">
        <v>0.5029842921627907</v>
      </c>
      <c r="E271" t="str">
        <v>0.651952073328676</v>
      </c>
      <c r="F271" t="str">
        <v>0.630465434012758</v>
      </c>
      <c r="G271" t="str">
        <v>0.6812552535749943</v>
      </c>
    </row>
  </sheetData>
  <mergeCells count="3">
    <mergeCell ref="B2:B16"/>
    <mergeCell ref="B32:B46"/>
    <mergeCell ref="B17:B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012F-A572-4070-8576-1CD113E43C0F}">
  <dimension ref="A1:Y271"/>
  <sheetViews>
    <sheetView topLeftCell="B1" zoomScale="85" zoomScaleNormal="85" workbookViewId="0">
      <selection activeCell="J14" sqref="J14"/>
    </sheetView>
  </sheetViews>
  <sheetFormatPr defaultRowHeight="14.4" x14ac:dyDescent="0.3"/>
  <cols>
    <col min="1" max="1" width="24.88671875" customWidth="1"/>
    <col min="2" max="2" width="22" customWidth="1"/>
    <col min="3" max="3" width="10.77734375" customWidth="1"/>
    <col min="4" max="4" width="13.21875" customWidth="1"/>
    <col min="6" max="6" width="11.77734375" customWidth="1"/>
    <col min="8" max="9" width="17.33203125" customWidth="1"/>
    <col min="11" max="11" width="11.33203125" customWidth="1"/>
    <col min="12" max="12" width="15.5546875" customWidth="1"/>
    <col min="13" max="13" width="19.33203125" customWidth="1"/>
    <col min="14" max="14" width="20.6640625" customWidth="1"/>
    <col min="15" max="15" width="25.5546875" customWidth="1"/>
    <col min="21" max="21" width="17.5546875" customWidth="1"/>
  </cols>
  <sheetData>
    <row r="1" spans="1:25" x14ac:dyDescent="0.3">
      <c r="A1" s="1" t="s">
        <v>244</v>
      </c>
      <c r="B1" s="1" t="s">
        <v>245</v>
      </c>
      <c r="C1" s="2" t="s">
        <v>246</v>
      </c>
      <c r="D1" s="2" t="s">
        <v>247</v>
      </c>
      <c r="E1" s="2" t="s">
        <v>248</v>
      </c>
      <c r="F1" s="2" t="s">
        <v>249</v>
      </c>
      <c r="H1" s="21" t="s">
        <v>498</v>
      </c>
      <c r="I1" s="21"/>
      <c r="J1" s="21"/>
      <c r="K1" s="21"/>
      <c r="L1" s="21"/>
      <c r="M1" s="21"/>
      <c r="O1" s="1"/>
      <c r="P1" s="12" t="s">
        <v>86</v>
      </c>
      <c r="Q1" s="12"/>
      <c r="R1" s="12"/>
      <c r="S1" s="12"/>
    </row>
    <row r="2" spans="1:25" x14ac:dyDescent="0.3">
      <c r="A2" s="12" t="s">
        <v>91</v>
      </c>
      <c r="B2" s="1" t="s">
        <v>16</v>
      </c>
      <c r="C2" s="3">
        <v>0.33971188298596999</v>
      </c>
      <c r="D2" s="3">
        <v>0.50714170307844897</v>
      </c>
      <c r="E2" s="3">
        <v>0.58487299440614704</v>
      </c>
      <c r="F2" s="3">
        <v>0.44764800478042499</v>
      </c>
      <c r="H2" s="22" t="s">
        <v>244</v>
      </c>
      <c r="I2" s="22" t="s">
        <v>519</v>
      </c>
      <c r="J2" s="22" t="s">
        <v>517</v>
      </c>
      <c r="K2" s="22" t="s">
        <v>520</v>
      </c>
      <c r="L2" s="22" t="s">
        <v>521</v>
      </c>
      <c r="M2" s="22" t="s">
        <v>522</v>
      </c>
      <c r="O2" s="1"/>
      <c r="P2" s="2" t="s">
        <v>246</v>
      </c>
      <c r="Q2" s="2" t="s">
        <v>247</v>
      </c>
      <c r="R2" s="2" t="s">
        <v>248</v>
      </c>
      <c r="S2" s="2" t="s">
        <v>249</v>
      </c>
      <c r="V2" s="2" t="s">
        <v>246</v>
      </c>
      <c r="W2" s="2" t="s">
        <v>247</v>
      </c>
      <c r="X2" s="2" t="s">
        <v>248</v>
      </c>
      <c r="Y2" s="2" t="s">
        <v>249</v>
      </c>
    </row>
    <row r="3" spans="1:25" x14ac:dyDescent="0.3">
      <c r="A3" s="12"/>
      <c r="B3" s="1" t="s">
        <v>21</v>
      </c>
      <c r="C3" s="3">
        <v>0.369328801790407</v>
      </c>
      <c r="D3" s="3">
        <v>0.53943041482441201</v>
      </c>
      <c r="E3" s="3">
        <v>0.54435978810580099</v>
      </c>
      <c r="F3" s="3">
        <v>0.53458951487421003</v>
      </c>
      <c r="H3" s="1" t="s">
        <v>298</v>
      </c>
      <c r="I3" s="3">
        <f>AVERAGE(D2:D15,D17:D30,D32:D45)</f>
        <v>0.6267750421102537</v>
      </c>
      <c r="J3" s="1">
        <f>_xlfn.STDEV.S(D2:D15,D17:D30,D32:D45)</f>
        <v>0.19453524501529867</v>
      </c>
      <c r="K3" s="3">
        <f>_xlfn.CONFIDENCE.T(0.05, J3, 42)</f>
        <v>6.062144989071467E-2</v>
      </c>
      <c r="L3" s="3">
        <f>I3-K3</f>
        <v>0.56615359221953898</v>
      </c>
      <c r="M3" s="3">
        <f>I3+K3</f>
        <v>0.68739649200096842</v>
      </c>
      <c r="O3" s="1" t="s">
        <v>91</v>
      </c>
      <c r="P3" s="3">
        <v>0.46134664184725299</v>
      </c>
      <c r="Q3" s="3">
        <v>0.608489664053254</v>
      </c>
      <c r="R3" s="3">
        <v>0.62419701880038703</v>
      </c>
      <c r="S3" s="3">
        <v>0.61500231410869299</v>
      </c>
      <c r="U3" t="s">
        <v>298</v>
      </c>
      <c r="V3" s="4">
        <f>AVERAGE(P3:P5)</f>
        <v>0.48235261073196534</v>
      </c>
      <c r="W3" s="4">
        <f>AVERAGE(Q3:Q5)</f>
        <v>0.62677504211025326</v>
      </c>
      <c r="X3" s="4">
        <f t="shared" ref="X3:Y3" si="0">AVERAGE(R3:R5)</f>
        <v>0.6453518346409034</v>
      </c>
      <c r="Y3" s="4">
        <f t="shared" si="0"/>
        <v>0.63652623645490536</v>
      </c>
    </row>
    <row r="4" spans="1:25" x14ac:dyDescent="0.3">
      <c r="A4" s="12"/>
      <c r="B4" s="1" t="s">
        <v>26</v>
      </c>
      <c r="C4" s="3">
        <v>0.61370826912064302</v>
      </c>
      <c r="D4" s="3">
        <v>0.76061860853581698</v>
      </c>
      <c r="E4" s="3">
        <v>0.70173546729434699</v>
      </c>
      <c r="F4" s="3">
        <v>0.83028875071652097</v>
      </c>
      <c r="H4" s="1" t="s">
        <v>299</v>
      </c>
      <c r="I4" s="3">
        <f>AVERAGE(D47:D60,D62:D75,D77:D90)</f>
        <v>0.63309321610143965</v>
      </c>
      <c r="J4" s="1">
        <f>_xlfn.STDEV.S(D47:D60,D62:D75,D77:D90)</f>
        <v>0.20047826042098532</v>
      </c>
      <c r="K4" s="3">
        <f t="shared" ref="K4:K8" si="1">_xlfn.CONFIDENCE.T(0.05, J4, 42)</f>
        <v>6.2473423863797256E-2</v>
      </c>
      <c r="L4" s="3">
        <f t="shared" ref="L4:L8" si="2">I4-K4</f>
        <v>0.57061979223764236</v>
      </c>
      <c r="M4" s="3">
        <f t="shared" ref="M4:M8" si="3">I4+K4</f>
        <v>0.69556663996523693</v>
      </c>
      <c r="O4" s="1" t="s">
        <v>122</v>
      </c>
      <c r="P4" s="3">
        <v>0.494077291772059</v>
      </c>
      <c r="Q4" s="3">
        <v>0.64189951299723702</v>
      </c>
      <c r="R4" s="3">
        <v>0.63425758562163403</v>
      </c>
      <c r="S4" s="3">
        <v>0.65991566761756504</v>
      </c>
      <c r="U4" t="s">
        <v>299</v>
      </c>
      <c r="V4" s="4">
        <f>AVERAGE(P6:P8)</f>
        <v>0.49060027696865899</v>
      </c>
      <c r="W4" s="4">
        <f t="shared" ref="W4:Y4" si="4">AVERAGE(Q6:Q8)</f>
        <v>0.63309321610143998</v>
      </c>
      <c r="X4" s="4">
        <f t="shared" si="4"/>
        <v>0.62647291276647499</v>
      </c>
      <c r="Y4" s="4">
        <f t="shared" si="4"/>
        <v>0.64843435211098999</v>
      </c>
    </row>
    <row r="5" spans="1:25" x14ac:dyDescent="0.3">
      <c r="A5" s="12"/>
      <c r="B5" s="1" t="s">
        <v>31</v>
      </c>
      <c r="C5" s="3">
        <v>0.32915328187489001</v>
      </c>
      <c r="D5" s="3">
        <v>0.49528265304448499</v>
      </c>
      <c r="E5" s="3">
        <v>0.62144706560014995</v>
      </c>
      <c r="F5" s="3">
        <v>0.41170040906327598</v>
      </c>
      <c r="H5" s="1" t="s">
        <v>396</v>
      </c>
      <c r="I5" s="3">
        <f>AVERAGE(D92:D105,D107:D120,D122:D135)</f>
        <v>0.55687483401917759</v>
      </c>
      <c r="J5" s="1">
        <f>_xlfn.STDEV.S(D92:D105,D107:D120,D122:D135)</f>
        <v>0.27057600909992646</v>
      </c>
      <c r="K5" s="3">
        <f t="shared" si="1"/>
        <v>8.4317420095216186E-2</v>
      </c>
      <c r="L5" s="3">
        <f t="shared" si="2"/>
        <v>0.47255741392396139</v>
      </c>
      <c r="M5" s="3">
        <f t="shared" si="3"/>
        <v>0.64119225411439373</v>
      </c>
      <c r="O5" s="1" t="s">
        <v>179</v>
      </c>
      <c r="P5" s="3">
        <v>0.49163389857658402</v>
      </c>
      <c r="Q5" s="3">
        <v>0.62993594928026897</v>
      </c>
      <c r="R5" s="3">
        <v>0.67760089950068902</v>
      </c>
      <c r="S5" s="3">
        <v>0.63466072763845804</v>
      </c>
      <c r="U5" t="s">
        <v>396</v>
      </c>
      <c r="V5" s="4">
        <f>AVERAGE(P9:P11)</f>
        <v>0.42794431539406697</v>
      </c>
      <c r="W5" s="4">
        <f t="shared" ref="W5:Y5" si="5">AVERAGE(Q9:Q11)</f>
        <v>0.55687483401917792</v>
      </c>
      <c r="X5" s="4">
        <f t="shared" si="5"/>
        <v>0.54332934741445038</v>
      </c>
      <c r="Y5" s="4">
        <f t="shared" si="5"/>
        <v>0.57794372239386593</v>
      </c>
    </row>
    <row r="6" spans="1:25" x14ac:dyDescent="0.3">
      <c r="A6" s="12"/>
      <c r="B6" s="1" t="s">
        <v>36</v>
      </c>
      <c r="C6" s="3">
        <v>0.71644917826667898</v>
      </c>
      <c r="D6" s="3">
        <v>0.83480383496139399</v>
      </c>
      <c r="E6" s="3">
        <v>0.81181673677266797</v>
      </c>
      <c r="F6" s="3">
        <v>0.85913065634836305</v>
      </c>
      <c r="H6" s="1" t="s">
        <v>397</v>
      </c>
      <c r="I6" s="3">
        <f>AVERAGE(D137:D150,D152:D165,D167:D180)</f>
        <v>0.57800902150615863</v>
      </c>
      <c r="J6" s="1">
        <f>_xlfn.STDEV.S(D137:D150,D152:D165,D167:D180)</f>
        <v>0.27577485859977585</v>
      </c>
      <c r="K6" s="3">
        <f t="shared" si="1"/>
        <v>8.5937495647179535E-2</v>
      </c>
      <c r="L6" s="3">
        <f t="shared" si="2"/>
        <v>0.49207152585897906</v>
      </c>
      <c r="M6" s="3">
        <f t="shared" si="3"/>
        <v>0.66394651715333819</v>
      </c>
      <c r="O6" s="1" t="s">
        <v>295</v>
      </c>
      <c r="P6" s="3">
        <v>0.479617171604384</v>
      </c>
      <c r="Q6" s="3">
        <v>0.62640641628480997</v>
      </c>
      <c r="R6" s="3">
        <v>0.62044992181797898</v>
      </c>
      <c r="S6" s="3">
        <v>0.64361895944876601</v>
      </c>
      <c r="U6" t="s">
        <v>397</v>
      </c>
      <c r="V6" s="4">
        <f>AVERAGE(P12:P14)</f>
        <v>0.45125409018044632</v>
      </c>
      <c r="W6" s="4">
        <f t="shared" ref="W6:Y6" si="6">AVERAGE(Q12:Q14)</f>
        <v>0.57800902150615874</v>
      </c>
      <c r="X6" s="4">
        <f t="shared" si="6"/>
        <v>0.55671318671804237</v>
      </c>
      <c r="Y6" s="4">
        <f t="shared" si="6"/>
        <v>0.60846202232782765</v>
      </c>
    </row>
    <row r="7" spans="1:25" x14ac:dyDescent="0.3">
      <c r="A7" s="12"/>
      <c r="B7" s="1" t="s">
        <v>41</v>
      </c>
      <c r="C7" s="3">
        <v>0.58270324189242395</v>
      </c>
      <c r="D7" s="3">
        <v>0.73633922831381904</v>
      </c>
      <c r="E7" s="3">
        <v>0.72522717384876201</v>
      </c>
      <c r="F7" s="3">
        <v>0.74779710308453295</v>
      </c>
      <c r="H7" s="1" t="s">
        <v>446</v>
      </c>
      <c r="I7" s="3">
        <f>AVERAGE(D182:D195,D197:D210,D212:D225)</f>
        <v>0.64869766755784308</v>
      </c>
      <c r="J7" s="1">
        <f>_xlfn.STDEV.S(D182:D195,D197:D210,D212:D225)</f>
        <v>0.17980548608571045</v>
      </c>
      <c r="K7" s="3">
        <f t="shared" si="1"/>
        <v>5.603133387969509E-2</v>
      </c>
      <c r="L7" s="3">
        <f t="shared" si="2"/>
        <v>0.59266633367814803</v>
      </c>
      <c r="M7" s="3">
        <f t="shared" si="3"/>
        <v>0.70472900143753814</v>
      </c>
      <c r="O7" s="1" t="s">
        <v>296</v>
      </c>
      <c r="P7" s="3">
        <v>0.50291469212262296</v>
      </c>
      <c r="Q7" s="3">
        <v>0.64961111726211496</v>
      </c>
      <c r="R7" s="3">
        <v>0.63982373802536097</v>
      </c>
      <c r="S7" s="3">
        <v>0.66656018785672599</v>
      </c>
      <c r="U7" t="s">
        <v>446</v>
      </c>
      <c r="V7" s="4">
        <f>AVERAGE(P15:P17)</f>
        <v>0.503810183426875</v>
      </c>
      <c r="W7" s="4">
        <f t="shared" ref="W7:Y7" si="7">AVERAGE(Q15:Q17)</f>
        <v>0.64869766755784342</v>
      </c>
      <c r="X7" s="4">
        <f t="shared" si="7"/>
        <v>0.66169854599798461</v>
      </c>
      <c r="Y7" s="4">
        <f t="shared" si="7"/>
        <v>0.64649644363767089</v>
      </c>
    </row>
    <row r="8" spans="1:25" x14ac:dyDescent="0.3">
      <c r="A8" s="12"/>
      <c r="B8" s="1" t="s">
        <v>46</v>
      </c>
      <c r="C8" s="3">
        <v>0.54465806541614803</v>
      </c>
      <c r="D8" s="3">
        <v>0.70521506035630099</v>
      </c>
      <c r="E8" s="3">
        <v>0.72748889133609795</v>
      </c>
      <c r="F8" s="3">
        <v>0.68426464418961197</v>
      </c>
      <c r="H8" s="1" t="s">
        <v>503</v>
      </c>
      <c r="I8" s="3">
        <f>AVERAGE(D227:D240,D242:D255,D257:D270)</f>
        <v>0.64836229224487618</v>
      </c>
      <c r="J8" s="1">
        <f>_xlfn.STDEV.S(D227:D240,D242:D255,D257:D270)</f>
        <v>0.18161579016842316</v>
      </c>
      <c r="K8" s="3">
        <f t="shared" si="1"/>
        <v>5.6595464344734954E-2</v>
      </c>
      <c r="L8" s="3">
        <f t="shared" si="2"/>
        <v>0.59176682790014123</v>
      </c>
      <c r="M8" s="3">
        <f t="shared" si="3"/>
        <v>0.70495775658961113</v>
      </c>
      <c r="O8" s="1" t="s">
        <v>297</v>
      </c>
      <c r="P8" s="3">
        <v>0.48926896717897</v>
      </c>
      <c r="Q8" s="3">
        <v>0.62326211475739501</v>
      </c>
      <c r="R8" s="3">
        <v>0.61914507845608502</v>
      </c>
      <c r="S8" s="3">
        <v>0.63512390902747795</v>
      </c>
      <c r="U8" t="s">
        <v>503</v>
      </c>
      <c r="V8" s="4">
        <f>AVERAGE(P18:P20)</f>
        <v>0.50391065362005127</v>
      </c>
      <c r="W8" s="4">
        <f>AVERAGE(Q18:Q20)</f>
        <v>0.64836229224487674</v>
      </c>
      <c r="X8" s="4">
        <f t="shared" ref="X8:Y8" si="8">AVERAGE(R18:R20)</f>
        <v>0.64134021121119333</v>
      </c>
      <c r="Y8" s="4">
        <f t="shared" si="8"/>
        <v>0.66887028777658075</v>
      </c>
    </row>
    <row r="9" spans="1:25" x14ac:dyDescent="0.3">
      <c r="A9" s="12"/>
      <c r="B9" s="1" t="s">
        <v>51</v>
      </c>
      <c r="C9" s="3">
        <v>0.54135660125221696</v>
      </c>
      <c r="D9" s="3">
        <v>0.70244173322696701</v>
      </c>
      <c r="E9" s="3">
        <v>0.60942028827127703</v>
      </c>
      <c r="F9" s="3">
        <v>0.82897599229386798</v>
      </c>
      <c r="O9" s="1" t="s">
        <v>390</v>
      </c>
      <c r="P9" s="3">
        <v>0.45164687109993101</v>
      </c>
      <c r="Q9" s="3">
        <v>0.57961341402462097</v>
      </c>
      <c r="R9" s="3">
        <v>0.56649028126595602</v>
      </c>
      <c r="S9" s="3">
        <v>0.59881034694954405</v>
      </c>
    </row>
    <row r="10" spans="1:25" x14ac:dyDescent="0.3">
      <c r="A10" s="12"/>
      <c r="B10" s="1" t="s">
        <v>56</v>
      </c>
      <c r="C10" s="3">
        <v>0.72637375403692295</v>
      </c>
      <c r="D10" s="3">
        <v>0.84150231354987104</v>
      </c>
      <c r="E10" s="3">
        <v>0.74544208841279502</v>
      </c>
      <c r="F10" s="3">
        <v>0.96598207848368101</v>
      </c>
      <c r="O10" s="1" t="s">
        <v>391</v>
      </c>
      <c r="P10" s="3">
        <v>0.41016298164486698</v>
      </c>
      <c r="Q10" s="3">
        <v>0.539034193955096</v>
      </c>
      <c r="R10" s="3">
        <v>0.525532334826462</v>
      </c>
      <c r="S10" s="3">
        <v>0.559667841173214</v>
      </c>
    </row>
    <row r="11" spans="1:25" x14ac:dyDescent="0.3">
      <c r="A11" s="12"/>
      <c r="B11" s="1" t="s">
        <v>61</v>
      </c>
      <c r="C11" s="3">
        <v>0.162017006564732</v>
      </c>
      <c r="D11" s="3">
        <v>0.27885479411992897</v>
      </c>
      <c r="E11" s="3">
        <v>0.31349026052461298</v>
      </c>
      <c r="F11" s="3">
        <v>0.25111117994126497</v>
      </c>
      <c r="H11" s="21" t="s">
        <v>499</v>
      </c>
      <c r="I11" s="21"/>
      <c r="J11" s="21"/>
      <c r="K11" s="21"/>
      <c r="L11" s="21"/>
      <c r="M11" s="21"/>
      <c r="O11" s="1" t="s">
        <v>392</v>
      </c>
      <c r="P11" s="3">
        <v>0.42202309343740302</v>
      </c>
      <c r="Q11" s="3">
        <v>0.55197689407781703</v>
      </c>
      <c r="R11" s="3">
        <v>0.53796542615093301</v>
      </c>
      <c r="S11" s="3">
        <v>0.57535297905883998</v>
      </c>
    </row>
    <row r="12" spans="1:25" x14ac:dyDescent="0.3">
      <c r="A12" s="12"/>
      <c r="B12" s="1" t="s">
        <v>66</v>
      </c>
      <c r="C12" s="3">
        <v>0.585951062806081</v>
      </c>
      <c r="D12" s="3">
        <v>0.738927040749084</v>
      </c>
      <c r="E12" s="3">
        <v>0.67427258870173101</v>
      </c>
      <c r="F12" s="3">
        <v>0.81729564570034896</v>
      </c>
      <c r="H12" s="22" t="s">
        <v>244</v>
      </c>
      <c r="I12" s="22" t="s">
        <v>519</v>
      </c>
      <c r="J12" s="22" t="s">
        <v>517</v>
      </c>
      <c r="K12" s="22" t="s">
        <v>520</v>
      </c>
      <c r="L12" s="22" t="s">
        <v>521</v>
      </c>
      <c r="M12" s="22" t="s">
        <v>522</v>
      </c>
      <c r="O12" s="1" t="s">
        <v>393</v>
      </c>
      <c r="P12" s="3">
        <v>0.46392979579793198</v>
      </c>
      <c r="Q12" s="3">
        <v>0.59131335379634897</v>
      </c>
      <c r="R12" s="3">
        <v>0.58104836106955404</v>
      </c>
      <c r="S12" s="3">
        <v>0.60534226343265396</v>
      </c>
      <c r="U12" t="s">
        <v>298</v>
      </c>
      <c r="V12">
        <f>_xlfn.STDEV.S(C2:C15,C17:C30,C32:C45)</f>
        <v>0.1899485112407599</v>
      </c>
    </row>
    <row r="13" spans="1:25" x14ac:dyDescent="0.3">
      <c r="A13" s="12"/>
      <c r="B13" s="1" t="s">
        <v>71</v>
      </c>
      <c r="C13" s="3">
        <v>0.32011139129892502</v>
      </c>
      <c r="D13" s="3">
        <v>0.484976333677344</v>
      </c>
      <c r="E13" s="3">
        <v>0.71479160205688597</v>
      </c>
      <c r="F13" s="3">
        <v>0.36698548502905698</v>
      </c>
      <c r="H13" s="1" t="s">
        <v>298</v>
      </c>
      <c r="I13" s="3">
        <f>AVERAGE(F2:F15,F17:F30,F32:F45)</f>
        <v>0.63652623645490547</v>
      </c>
      <c r="J13" s="1">
        <f>_xlfn.STDEV.S(F2:F15,F17:F30,F32:F45)</f>
        <v>0.23877286997028857</v>
      </c>
      <c r="K13" s="3">
        <f>_xlfn.CONFIDENCE.T(0.05, J13, 42)</f>
        <v>7.440686427298894E-2</v>
      </c>
      <c r="L13" s="3">
        <f>I13-K13</f>
        <v>0.56211937218191654</v>
      </c>
      <c r="M13" s="3">
        <f>I13+K13</f>
        <v>0.7109331007278944</v>
      </c>
      <c r="O13" s="1" t="s">
        <v>394</v>
      </c>
      <c r="P13" s="3">
        <v>0.43836814407297803</v>
      </c>
      <c r="Q13" s="3">
        <v>0.56497754922529397</v>
      </c>
      <c r="R13" s="3">
        <v>0.54798409448723595</v>
      </c>
      <c r="S13" s="3">
        <v>0.59268194492750703</v>
      </c>
      <c r="U13" t="s">
        <v>299</v>
      </c>
    </row>
    <row r="14" spans="1:25" x14ac:dyDescent="0.3">
      <c r="A14" s="12"/>
      <c r="B14" s="1" t="s">
        <v>76</v>
      </c>
      <c r="C14" s="3">
        <v>0.498890140468289</v>
      </c>
      <c r="D14" s="3">
        <v>0.66567939437165702</v>
      </c>
      <c r="E14" s="3">
        <v>0.64537090292710197</v>
      </c>
      <c r="F14" s="3">
        <v>0.68730754547635098</v>
      </c>
      <c r="H14" s="1" t="s">
        <v>299</v>
      </c>
      <c r="I14" s="3">
        <f>AVERAGE(F47:F60,F62:F75,F77:F90)</f>
        <v>0.64843435211098976</v>
      </c>
      <c r="J14" s="3">
        <f>_xlfn.STDEV.S(F47:F60,F62:F75,F77:F90)</f>
        <v>0.23244564721812383</v>
      </c>
      <c r="K14" s="3">
        <f t="shared" ref="K14:K18" si="9">_xlfn.CONFIDENCE.T(0.05, J14, 42)</f>
        <v>7.2435162862339267E-2</v>
      </c>
      <c r="L14" s="3">
        <f t="shared" ref="L14:L18" si="10">I14-K14</f>
        <v>0.57599918924865046</v>
      </c>
      <c r="M14" s="3">
        <f t="shared" ref="M14:M18" si="11">I14+K14</f>
        <v>0.72086951497332907</v>
      </c>
      <c r="O14" s="1" t="s">
        <v>395</v>
      </c>
      <c r="P14" s="3">
        <v>0.45146433067042901</v>
      </c>
      <c r="Q14" s="3">
        <v>0.57773616149683304</v>
      </c>
      <c r="R14" s="3">
        <v>0.54110710459733702</v>
      </c>
      <c r="S14" s="3">
        <v>0.62736185862332206</v>
      </c>
      <c r="U14" t="s">
        <v>396</v>
      </c>
    </row>
    <row r="15" spans="1:25" x14ac:dyDescent="0.3">
      <c r="A15" s="12"/>
      <c r="B15" s="1" t="s">
        <v>81</v>
      </c>
      <c r="C15" s="3">
        <v>0.12844030808720799</v>
      </c>
      <c r="D15" s="3">
        <v>0.227642183936029</v>
      </c>
      <c r="E15" s="3">
        <v>0.31902241494704098</v>
      </c>
      <c r="F15" s="3">
        <v>0.176955387540189</v>
      </c>
      <c r="H15" s="1" t="s">
        <v>396</v>
      </c>
      <c r="I15" s="3">
        <f>AVERAGE(F92:F105,F107:F120,F122:F135)</f>
        <v>0.57794372239386615</v>
      </c>
      <c r="J15" s="3">
        <f>_xlfn.STDEV.S(F92:F105,F107:F120,F122:F135)</f>
        <v>0.29033291561202873</v>
      </c>
      <c r="K15" s="3">
        <f t="shared" si="9"/>
        <v>9.0474105574111022E-2</v>
      </c>
      <c r="L15" s="3">
        <f t="shared" si="10"/>
        <v>0.48746961681975515</v>
      </c>
      <c r="M15" s="3">
        <f t="shared" si="11"/>
        <v>0.66841782796797722</v>
      </c>
      <c r="O15" s="5" t="s">
        <v>443</v>
      </c>
      <c r="P15" s="3">
        <v>0.52338356800585395</v>
      </c>
      <c r="Q15" s="3">
        <v>0.668154248105159</v>
      </c>
      <c r="R15" s="3">
        <v>0.68061532167007599</v>
      </c>
      <c r="S15" s="3">
        <v>0.66518475693948997</v>
      </c>
      <c r="U15" t="s">
        <v>397</v>
      </c>
    </row>
    <row r="16" spans="1:25" x14ac:dyDescent="0.3">
      <c r="A16" s="12"/>
      <c r="B16" s="1" t="s">
        <v>86</v>
      </c>
      <c r="C16" s="3">
        <v>0.46134664184725299</v>
      </c>
      <c r="D16" s="3">
        <v>0.608489664053254</v>
      </c>
      <c r="E16" s="3">
        <v>0.62419701880038703</v>
      </c>
      <c r="F16" s="3">
        <v>0.61500231410869299</v>
      </c>
      <c r="H16" s="1" t="s">
        <v>397</v>
      </c>
      <c r="I16" s="3">
        <f>AVERAGE(F137:F150,F152:F165,F167:F180)</f>
        <v>0.60846202232782765</v>
      </c>
      <c r="J16" s="3">
        <f>_xlfn.STDEV.S(F137:F150,F152:F165,F167:F180)</f>
        <v>0.2972040468740379</v>
      </c>
      <c r="K16" s="3">
        <f t="shared" si="9"/>
        <v>9.2615300808217088E-2</v>
      </c>
      <c r="L16" s="3">
        <f t="shared" si="10"/>
        <v>0.51584672151961053</v>
      </c>
      <c r="M16" s="3">
        <f t="shared" si="11"/>
        <v>0.70107732313604476</v>
      </c>
      <c r="O16" s="5" t="s">
        <v>444</v>
      </c>
      <c r="P16" s="3">
        <v>0.49215428933330102</v>
      </c>
      <c r="Q16" s="3">
        <v>0.634692547497134</v>
      </c>
      <c r="R16" s="3">
        <v>0.63749043874185296</v>
      </c>
      <c r="S16" s="3">
        <v>0.64447749324258996</v>
      </c>
      <c r="U16" t="s">
        <v>446</v>
      </c>
    </row>
    <row r="17" spans="1:19" x14ac:dyDescent="0.3">
      <c r="A17" s="12" t="s">
        <v>122</v>
      </c>
      <c r="B17" s="1" t="s">
        <v>16</v>
      </c>
      <c r="C17" s="3">
        <v>0.362191524818194</v>
      </c>
      <c r="D17" s="3">
        <v>0.53177768062612796</v>
      </c>
      <c r="E17" s="3">
        <v>0.57806551088236602</v>
      </c>
      <c r="F17" s="3">
        <v>0.49235315385095202</v>
      </c>
      <c r="H17" s="1" t="s">
        <v>446</v>
      </c>
      <c r="I17" s="3">
        <f>AVERAGE(F182:F195,F197:F210,F212:F225)</f>
        <v>0.64649644363767067</v>
      </c>
      <c r="J17" s="3">
        <f>_xlfn.STDEV.S(F182:F195,F197:F210,F212:F225)</f>
        <v>0.21400376719706615</v>
      </c>
      <c r="K17" s="3">
        <f t="shared" si="9"/>
        <v>6.6688268485954147E-2</v>
      </c>
      <c r="L17" s="3">
        <f t="shared" si="10"/>
        <v>0.57980817515171656</v>
      </c>
      <c r="M17" s="3">
        <f t="shared" si="11"/>
        <v>0.71318471212362478</v>
      </c>
      <c r="O17" s="5" t="s">
        <v>445</v>
      </c>
      <c r="P17" s="3">
        <v>0.49589269294146998</v>
      </c>
      <c r="Q17" s="3">
        <v>0.64324620707123703</v>
      </c>
      <c r="R17" s="3">
        <v>0.66698987758202499</v>
      </c>
      <c r="S17" s="3">
        <v>0.62982708073093296</v>
      </c>
    </row>
    <row r="18" spans="1:19" x14ac:dyDescent="0.3">
      <c r="A18" s="12"/>
      <c r="B18" s="1" t="s">
        <v>21</v>
      </c>
      <c r="C18" s="3">
        <v>0.305468086594191</v>
      </c>
      <c r="D18" s="3">
        <v>0.46798246503462299</v>
      </c>
      <c r="E18" s="3">
        <v>0.47158010680510298</v>
      </c>
      <c r="F18" s="3">
        <v>0.46443929983147703</v>
      </c>
      <c r="H18" s="1" t="s">
        <v>503</v>
      </c>
      <c r="I18" s="3">
        <f>AVERAGE(F227:F240,F242:F255,F257:F270)</f>
        <v>0.66887028777658109</v>
      </c>
      <c r="J18" s="3">
        <f>_xlfn.STDEV.S(F227:F240,F242:F255,F257:F270)</f>
        <v>0.20859517688947843</v>
      </c>
      <c r="K18" s="3">
        <f t="shared" si="9"/>
        <v>6.5002833097189253E-2</v>
      </c>
      <c r="L18" s="3">
        <f t="shared" si="10"/>
        <v>0.60386745467939185</v>
      </c>
      <c r="M18" s="3">
        <f t="shared" si="11"/>
        <v>0.73387312087377032</v>
      </c>
      <c r="O18" s="1" t="s">
        <v>477</v>
      </c>
      <c r="P18" s="3">
        <v>0.51929154562117297</v>
      </c>
      <c r="Q18" s="3">
        <v>0.65864626133743198</v>
      </c>
      <c r="R18" s="3">
        <v>0.67526205843073595</v>
      </c>
      <c r="S18" s="3">
        <v>0.661659681097159</v>
      </c>
    </row>
    <row r="19" spans="1:19" x14ac:dyDescent="0.3">
      <c r="A19" s="12"/>
      <c r="B19" s="1" t="s">
        <v>26</v>
      </c>
      <c r="C19" s="3">
        <v>0.62163749441418203</v>
      </c>
      <c r="D19" s="3">
        <v>0.766678738689067</v>
      </c>
      <c r="E19" s="3">
        <v>0.70895581763779303</v>
      </c>
      <c r="F19" s="3">
        <v>0.83463436030615401</v>
      </c>
      <c r="O19" s="1" t="s">
        <v>478</v>
      </c>
      <c r="P19" s="3">
        <v>0.48945612307619102</v>
      </c>
      <c r="Q19" s="3">
        <v>0.63448854206852201</v>
      </c>
      <c r="R19" s="3">
        <v>0.61829314119008605</v>
      </c>
      <c r="S19" s="3">
        <v>0.66369592865758897</v>
      </c>
    </row>
    <row r="20" spans="1:19" x14ac:dyDescent="0.3">
      <c r="A20" s="12"/>
      <c r="B20" s="1" t="s">
        <v>31</v>
      </c>
      <c r="C20" s="3">
        <v>0.39795410082275301</v>
      </c>
      <c r="D20" s="3">
        <v>0.56933786393779395</v>
      </c>
      <c r="E20" s="3">
        <v>0.553470158047081</v>
      </c>
      <c r="F20" s="3">
        <v>0.58614226232022704</v>
      </c>
      <c r="O20" s="1" t="s">
        <v>518</v>
      </c>
      <c r="P20" s="3">
        <v>0.50298429216278995</v>
      </c>
      <c r="Q20" s="3">
        <v>0.651952073328676</v>
      </c>
      <c r="R20" s="3">
        <v>0.63046543401275801</v>
      </c>
      <c r="S20" s="3">
        <v>0.68125525357499395</v>
      </c>
    </row>
    <row r="21" spans="1:19" x14ac:dyDescent="0.3">
      <c r="A21" s="12"/>
      <c r="B21" s="1" t="s">
        <v>36</v>
      </c>
      <c r="C21" s="3">
        <v>0.74578354144299097</v>
      </c>
      <c r="D21" s="3">
        <v>0.85438260097991003</v>
      </c>
      <c r="E21" s="3">
        <v>0.803987847007818</v>
      </c>
      <c r="F21" s="3">
        <v>0.911517414677537</v>
      </c>
      <c r="O21" s="6"/>
      <c r="P21" s="4"/>
    </row>
    <row r="22" spans="1:19" x14ac:dyDescent="0.3">
      <c r="A22" s="12"/>
      <c r="B22" s="1" t="s">
        <v>41</v>
      </c>
      <c r="C22" s="3">
        <v>0.56862375917376295</v>
      </c>
      <c r="D22" s="3">
        <v>0.72499699924636196</v>
      </c>
      <c r="E22" s="3">
        <v>0.77104957880960401</v>
      </c>
      <c r="F22" s="3">
        <v>0.68413554557280698</v>
      </c>
      <c r="O22" s="6"/>
    </row>
    <row r="23" spans="1:19" x14ac:dyDescent="0.3">
      <c r="A23" s="12"/>
      <c r="B23" s="1" t="s">
        <v>46</v>
      </c>
      <c r="C23" s="3">
        <v>0.52737845711995102</v>
      </c>
      <c r="D23" s="3">
        <v>0.69056683975284505</v>
      </c>
      <c r="E23" s="3">
        <v>0.692953002666861</v>
      </c>
      <c r="F23" s="3">
        <v>0.68819705380630702</v>
      </c>
      <c r="O23" s="6"/>
    </row>
    <row r="24" spans="1:19" x14ac:dyDescent="0.3">
      <c r="A24" s="12"/>
      <c r="B24" s="1" t="s">
        <v>51</v>
      </c>
      <c r="C24" s="3">
        <v>0.60125874921646305</v>
      </c>
      <c r="D24" s="3">
        <v>0.75098262477650701</v>
      </c>
      <c r="E24" s="3">
        <v>0.73435308503088403</v>
      </c>
      <c r="F24" s="3">
        <v>0.76838277207419603</v>
      </c>
      <c r="O24" s="6"/>
    </row>
    <row r="25" spans="1:19" x14ac:dyDescent="0.3">
      <c r="A25" s="12"/>
      <c r="B25" s="1" t="s">
        <v>56</v>
      </c>
      <c r="C25" s="3">
        <v>0.80415464417522697</v>
      </c>
      <c r="D25" s="3">
        <v>0.89144757825662801</v>
      </c>
      <c r="E25" s="3">
        <v>0.81105125003510203</v>
      </c>
      <c r="F25" s="3">
        <v>0.989536443402114</v>
      </c>
      <c r="O25" s="6"/>
    </row>
    <row r="26" spans="1:19" x14ac:dyDescent="0.3">
      <c r="A26" s="12"/>
      <c r="B26" s="1" t="s">
        <v>61</v>
      </c>
      <c r="C26" s="3">
        <v>0.13451248083758299</v>
      </c>
      <c r="D26" s="3">
        <v>0.23712825219564901</v>
      </c>
      <c r="E26" s="3">
        <v>0.35137891953110201</v>
      </c>
      <c r="F26" s="3">
        <v>0.178944533158782</v>
      </c>
      <c r="O26" s="6"/>
    </row>
    <row r="27" spans="1:19" x14ac:dyDescent="0.3">
      <c r="A27" s="12"/>
      <c r="B27" s="1" t="s">
        <v>66</v>
      </c>
      <c r="C27" s="3">
        <v>0.57575994762528604</v>
      </c>
      <c r="D27" s="3">
        <v>0.73077114124263998</v>
      </c>
      <c r="E27" s="3">
        <v>0.63027987242098205</v>
      </c>
      <c r="F27" s="3">
        <v>0.86938514445598702</v>
      </c>
      <c r="O27" s="6"/>
    </row>
    <row r="28" spans="1:19" x14ac:dyDescent="0.3">
      <c r="A28" s="12"/>
      <c r="B28" s="1" t="s">
        <v>71</v>
      </c>
      <c r="C28" s="3">
        <v>0.49112218735145702</v>
      </c>
      <c r="D28" s="3">
        <v>0.65872829405589095</v>
      </c>
      <c r="E28" s="3">
        <v>0.64140720895849701</v>
      </c>
      <c r="F28" s="3">
        <v>0.67701084898082098</v>
      </c>
      <c r="O28" s="6"/>
    </row>
    <row r="29" spans="1:19" x14ac:dyDescent="0.3">
      <c r="A29" s="12"/>
      <c r="B29" s="1" t="s">
        <v>76</v>
      </c>
      <c r="C29" s="3">
        <v>0.47939236775147798</v>
      </c>
      <c r="D29" s="3">
        <v>0.64809360680980699</v>
      </c>
      <c r="E29" s="3">
        <v>0.67112210178944198</v>
      </c>
      <c r="F29" s="3">
        <v>0.62659305571869595</v>
      </c>
      <c r="O29" s="6"/>
    </row>
    <row r="30" spans="1:19" x14ac:dyDescent="0.3">
      <c r="A30" s="12"/>
      <c r="B30" s="1" t="s">
        <v>81</v>
      </c>
      <c r="C30" s="3">
        <v>0.30184474346530799</v>
      </c>
      <c r="D30" s="3">
        <v>0.46371849635747597</v>
      </c>
      <c r="E30" s="3">
        <v>0.45995173908024101</v>
      </c>
      <c r="F30" s="3">
        <v>0.46754745848985801</v>
      </c>
    </row>
    <row r="31" spans="1:19" x14ac:dyDescent="0.3">
      <c r="A31" s="12"/>
      <c r="B31" s="1" t="s">
        <v>86</v>
      </c>
      <c r="C31" s="3">
        <v>0.494077291772059</v>
      </c>
      <c r="D31" s="3">
        <v>0.64189951299723702</v>
      </c>
      <c r="E31" s="3">
        <v>0.63425758562163403</v>
      </c>
      <c r="F31" s="3">
        <v>0.65991566761756504</v>
      </c>
      <c r="O31" s="6"/>
    </row>
    <row r="32" spans="1:19" x14ac:dyDescent="0.3">
      <c r="A32" s="12" t="s">
        <v>179</v>
      </c>
      <c r="B32" s="1" t="s">
        <v>16</v>
      </c>
      <c r="C32" s="3">
        <v>0.36945233038494302</v>
      </c>
      <c r="D32" s="3">
        <v>0.53956216246109501</v>
      </c>
      <c r="E32" s="3">
        <v>0.58332883739475505</v>
      </c>
      <c r="F32" s="3">
        <v>0.50190467439636599</v>
      </c>
      <c r="O32" s="6"/>
    </row>
    <row r="33" spans="1:15" x14ac:dyDescent="0.3">
      <c r="A33" s="12"/>
      <c r="B33" s="1" t="s">
        <v>21</v>
      </c>
      <c r="C33" s="3">
        <v>0.41263959909724102</v>
      </c>
      <c r="D33" s="3">
        <v>0.58421072064090795</v>
      </c>
      <c r="E33" s="3">
        <v>0.58173745838649504</v>
      </c>
      <c r="F33" s="3">
        <v>0.58670510288243205</v>
      </c>
      <c r="O33" s="6"/>
    </row>
    <row r="34" spans="1:15" x14ac:dyDescent="0.3">
      <c r="A34" s="12"/>
      <c r="B34" s="1" t="s">
        <v>26</v>
      </c>
      <c r="C34" s="3">
        <v>0.60407341520808899</v>
      </c>
      <c r="D34" s="3">
        <v>0.75317427429557604</v>
      </c>
      <c r="E34" s="3">
        <v>0.69393849897559601</v>
      </c>
      <c r="F34" s="3">
        <v>0.82346680720293997</v>
      </c>
      <c r="O34" s="6"/>
    </row>
    <row r="35" spans="1:15" x14ac:dyDescent="0.3">
      <c r="A35" s="12"/>
      <c r="B35" s="1" t="s">
        <v>31</v>
      </c>
      <c r="C35" s="3">
        <v>0.39101377937631698</v>
      </c>
      <c r="D35" s="3">
        <v>0.56219972105759397</v>
      </c>
      <c r="E35" s="3">
        <v>0.60676431554863597</v>
      </c>
      <c r="F35" s="3">
        <v>0.52373343742466505</v>
      </c>
      <c r="O35" s="6"/>
    </row>
    <row r="36" spans="1:15" x14ac:dyDescent="0.3">
      <c r="A36" s="12"/>
      <c r="B36" s="1" t="s">
        <v>36</v>
      </c>
      <c r="C36" s="3">
        <v>0.79108313280514897</v>
      </c>
      <c r="D36" s="3">
        <v>0.88335724714929897</v>
      </c>
      <c r="E36" s="3">
        <v>0.82561253355201503</v>
      </c>
      <c r="F36" s="3">
        <v>0.94978692412641696</v>
      </c>
      <c r="O36" s="6"/>
    </row>
    <row r="37" spans="1:15" x14ac:dyDescent="0.3">
      <c r="A37" s="12"/>
      <c r="B37" s="1" t="s">
        <v>41</v>
      </c>
      <c r="C37" s="3">
        <v>0.49878937317280603</v>
      </c>
      <c r="D37" s="3">
        <v>0.66558968471588897</v>
      </c>
      <c r="E37" s="3">
        <v>0.71704993541002504</v>
      </c>
      <c r="F37" s="3">
        <v>0.62102109908847802</v>
      </c>
      <c r="O37" s="6"/>
    </row>
    <row r="38" spans="1:15" x14ac:dyDescent="0.3">
      <c r="A38" s="12"/>
      <c r="B38" s="1" t="s">
        <v>46</v>
      </c>
      <c r="C38" s="3">
        <v>0.58011168863526796</v>
      </c>
      <c r="D38" s="3">
        <v>0.73426668862415201</v>
      </c>
      <c r="E38" s="3">
        <v>0.79692390627595899</v>
      </c>
      <c r="F38" s="3">
        <v>0.68074398268876002</v>
      </c>
      <c r="O38" s="6"/>
    </row>
    <row r="39" spans="1:15" x14ac:dyDescent="0.3">
      <c r="A39" s="12"/>
      <c r="B39" s="1" t="s">
        <v>51</v>
      </c>
      <c r="C39" s="3">
        <v>0.64594001498533105</v>
      </c>
      <c r="D39" s="3">
        <v>0.78488888915078403</v>
      </c>
      <c r="E39" s="3">
        <v>0.72174457903225797</v>
      </c>
      <c r="F39" s="3">
        <v>0.86014131427787199</v>
      </c>
      <c r="O39" s="6"/>
    </row>
    <row r="40" spans="1:15" x14ac:dyDescent="0.3">
      <c r="A40" s="12"/>
      <c r="B40" s="1" t="s">
        <v>56</v>
      </c>
      <c r="C40" s="3">
        <v>0.75102696645043399</v>
      </c>
      <c r="D40" s="3">
        <v>0.85781313576553997</v>
      </c>
      <c r="E40" s="3">
        <v>0.76640146623886796</v>
      </c>
      <c r="F40" s="3">
        <v>0.97398397459010699</v>
      </c>
      <c r="O40" s="6"/>
    </row>
    <row r="41" spans="1:15" x14ac:dyDescent="0.3">
      <c r="A41" s="12"/>
      <c r="B41" s="1" t="s">
        <v>61</v>
      </c>
      <c r="C41" s="3">
        <v>0.15356190634887701</v>
      </c>
      <c r="D41" s="3">
        <v>0.26623955854248699</v>
      </c>
      <c r="E41" s="3">
        <v>0.34217048650724302</v>
      </c>
      <c r="F41" s="3">
        <v>0.217888091550582</v>
      </c>
      <c r="O41" s="6"/>
    </row>
    <row r="42" spans="1:15" x14ac:dyDescent="0.3">
      <c r="A42" s="12"/>
      <c r="B42" s="1" t="s">
        <v>66</v>
      </c>
      <c r="C42" s="3">
        <v>0.59565915197838104</v>
      </c>
      <c r="D42" s="3">
        <v>0.74659948678870702</v>
      </c>
      <c r="E42" s="3">
        <v>0.70405163715291597</v>
      </c>
      <c r="F42" s="3">
        <v>0.794620682285197</v>
      </c>
      <c r="O42" s="6"/>
    </row>
    <row r="43" spans="1:15" x14ac:dyDescent="0.3">
      <c r="A43" s="12"/>
      <c r="B43" s="1" t="s">
        <v>71</v>
      </c>
      <c r="C43" s="3">
        <v>0.51716625236911296</v>
      </c>
      <c r="D43" s="3">
        <v>0.68175290817540701</v>
      </c>
      <c r="E43" s="3">
        <v>0.82851294186704205</v>
      </c>
      <c r="F43" s="3">
        <v>0.57916206204239695</v>
      </c>
      <c r="O43" s="6"/>
    </row>
    <row r="44" spans="1:15" x14ac:dyDescent="0.3">
      <c r="A44" s="12"/>
      <c r="B44" s="1" t="s">
        <v>76</v>
      </c>
      <c r="C44" s="3">
        <v>0.54434607471601104</v>
      </c>
      <c r="D44" s="3">
        <v>0.70495348630469501</v>
      </c>
      <c r="E44" s="3">
        <v>0.67008619753750498</v>
      </c>
      <c r="F44" s="3">
        <v>0.74364851952088196</v>
      </c>
      <c r="O44" s="6"/>
    </row>
    <row r="45" spans="1:15" x14ac:dyDescent="0.3">
      <c r="A45" s="12"/>
      <c r="B45" s="1" t="s">
        <v>81</v>
      </c>
      <c r="C45" s="3">
        <v>2.8010894544210501E-2</v>
      </c>
      <c r="D45" s="3">
        <v>5.4495326251634203E-2</v>
      </c>
      <c r="E45" s="3">
        <v>0.64808979913032605</v>
      </c>
      <c r="F45" s="3">
        <v>2.84435148613198E-2</v>
      </c>
    </row>
    <row r="46" spans="1:15" x14ac:dyDescent="0.3">
      <c r="A46" s="12"/>
      <c r="B46" s="1" t="s">
        <v>86</v>
      </c>
      <c r="C46" s="3">
        <v>0.49163389857658402</v>
      </c>
      <c r="D46" s="3">
        <v>0.62993594928026897</v>
      </c>
      <c r="E46" s="3">
        <v>0.67760089950068902</v>
      </c>
      <c r="F46" s="3">
        <v>0.63466072763845804</v>
      </c>
      <c r="O46" s="6"/>
    </row>
    <row r="47" spans="1:15" x14ac:dyDescent="0.3">
      <c r="A47" s="12" t="s">
        <v>295</v>
      </c>
      <c r="B47" s="1" t="s">
        <v>16</v>
      </c>
      <c r="C47" s="3">
        <v>0.34256749633908401</v>
      </c>
      <c r="D47" s="3">
        <v>0.51031698186228602</v>
      </c>
      <c r="E47" s="3">
        <v>0.518793846507694</v>
      </c>
      <c r="F47" s="3">
        <v>0.50211268018194299</v>
      </c>
      <c r="O47" s="6"/>
    </row>
    <row r="48" spans="1:15" x14ac:dyDescent="0.3">
      <c r="A48" s="12"/>
      <c r="B48" s="1" t="s">
        <v>21</v>
      </c>
      <c r="C48" s="3">
        <v>0.38120064752059302</v>
      </c>
      <c r="D48" s="3">
        <v>0.551984461062758</v>
      </c>
      <c r="E48" s="3">
        <v>0.58468756733620098</v>
      </c>
      <c r="F48" s="3">
        <v>0.52274591363559098</v>
      </c>
      <c r="O48" s="6"/>
    </row>
    <row r="49" spans="1:15" x14ac:dyDescent="0.3">
      <c r="A49" s="12"/>
      <c r="B49" s="1" t="s">
        <v>26</v>
      </c>
      <c r="C49" s="3">
        <v>0.64096333366603198</v>
      </c>
      <c r="D49" s="3">
        <v>0.78120372407599503</v>
      </c>
      <c r="E49" s="3">
        <v>0.74514303806055604</v>
      </c>
      <c r="F49" s="3">
        <v>0.82093217328466905</v>
      </c>
      <c r="O49" s="6"/>
    </row>
    <row r="50" spans="1:15" x14ac:dyDescent="0.3">
      <c r="A50" s="12"/>
      <c r="B50" s="1" t="s">
        <v>31</v>
      </c>
      <c r="C50" s="3">
        <v>0.35744492886734203</v>
      </c>
      <c r="D50" s="3">
        <v>0.526643727883084</v>
      </c>
      <c r="E50" s="3">
        <v>0.58727205537472305</v>
      </c>
      <c r="F50" s="3">
        <v>0.47736218823611198</v>
      </c>
      <c r="O50" s="6"/>
    </row>
    <row r="51" spans="1:15" x14ac:dyDescent="0.3">
      <c r="A51" s="12"/>
      <c r="B51" s="1" t="s">
        <v>36</v>
      </c>
      <c r="C51" s="3">
        <v>0.73036661655678903</v>
      </c>
      <c r="D51" s="3">
        <v>0.84417557478093996</v>
      </c>
      <c r="E51" s="3">
        <v>0.82548553298020599</v>
      </c>
      <c r="F51" s="3">
        <v>0.86373155514065403</v>
      </c>
      <c r="O51" s="6"/>
    </row>
    <row r="52" spans="1:15" x14ac:dyDescent="0.3">
      <c r="A52" s="12"/>
      <c r="B52" s="1" t="s">
        <v>41</v>
      </c>
      <c r="C52" s="3">
        <v>0.58046584160867498</v>
      </c>
      <c r="D52" s="3">
        <v>0.73455031589654396</v>
      </c>
      <c r="E52" s="3">
        <v>0.73343925763717799</v>
      </c>
      <c r="F52" s="3">
        <v>0.73566474545979299</v>
      </c>
      <c r="O52" s="6"/>
    </row>
    <row r="53" spans="1:15" x14ac:dyDescent="0.3">
      <c r="A53" s="12"/>
      <c r="B53" s="1" t="s">
        <v>46</v>
      </c>
      <c r="C53" s="3">
        <v>0.54060936226362899</v>
      </c>
      <c r="D53" s="3">
        <v>0.70181238087415898</v>
      </c>
      <c r="E53" s="3">
        <v>0.70639451239581197</v>
      </c>
      <c r="F53" s="3">
        <v>0.69728931157194496</v>
      </c>
      <c r="O53" s="6"/>
    </row>
    <row r="54" spans="1:15" x14ac:dyDescent="0.3">
      <c r="A54" s="12"/>
      <c r="B54" s="1" t="s">
        <v>51</v>
      </c>
      <c r="C54" s="3">
        <v>0.53895431549331596</v>
      </c>
      <c r="D54" s="3">
        <v>0.70041626326061901</v>
      </c>
      <c r="E54" s="3">
        <v>0.58991251530559696</v>
      </c>
      <c r="F54" s="3">
        <v>0.86186225150709905</v>
      </c>
      <c r="O54" s="6"/>
    </row>
    <row r="55" spans="1:15" x14ac:dyDescent="0.3">
      <c r="A55" s="12"/>
      <c r="B55" s="1" t="s">
        <v>56</v>
      </c>
      <c r="C55" s="3">
        <v>0.78202710114089902</v>
      </c>
      <c r="D55" s="3">
        <v>0.87768261284042803</v>
      </c>
      <c r="E55" s="3">
        <v>0.80595276252695902</v>
      </c>
      <c r="F55" s="3">
        <v>0.96342774745061999</v>
      </c>
      <c r="O55" s="6"/>
    </row>
    <row r="56" spans="1:15" x14ac:dyDescent="0.3">
      <c r="A56" s="12"/>
      <c r="B56" s="1" t="s">
        <v>61</v>
      </c>
      <c r="C56" s="3">
        <v>0.141580695039356</v>
      </c>
      <c r="D56" s="3">
        <v>0.24804325380515499</v>
      </c>
      <c r="E56" s="3">
        <v>0.237551124563013</v>
      </c>
      <c r="F56" s="3">
        <v>0.25950504096246002</v>
      </c>
      <c r="O56" s="6"/>
    </row>
    <row r="57" spans="1:15" x14ac:dyDescent="0.3">
      <c r="A57" s="12"/>
      <c r="B57" s="1" t="s">
        <v>66</v>
      </c>
      <c r="C57" s="3">
        <v>0.61567067491082195</v>
      </c>
      <c r="D57" s="3">
        <v>0.762123970523639</v>
      </c>
      <c r="E57" s="3">
        <v>0.70094494047084999</v>
      </c>
      <c r="F57" s="3">
        <v>0.83500376067397297</v>
      </c>
      <c r="O57" s="6"/>
    </row>
    <row r="58" spans="1:15" x14ac:dyDescent="0.3">
      <c r="A58" s="12"/>
      <c r="B58" s="1" t="s">
        <v>71</v>
      </c>
      <c r="C58" s="3">
        <v>0.34550919126602497</v>
      </c>
      <c r="D58" s="3">
        <v>0.51357388490364198</v>
      </c>
      <c r="E58" s="3">
        <v>0.66645865130858095</v>
      </c>
      <c r="F58" s="3">
        <v>0.41774395361024702</v>
      </c>
      <c r="O58" s="6"/>
    </row>
    <row r="59" spans="1:15" x14ac:dyDescent="0.3">
      <c r="A59" s="12"/>
      <c r="B59" s="1" t="s">
        <v>76</v>
      </c>
      <c r="C59" s="3">
        <v>0.51342913480778896</v>
      </c>
      <c r="D59" s="3">
        <v>0.67849775453542605</v>
      </c>
      <c r="E59" s="3">
        <v>0.665759412399335</v>
      </c>
      <c r="F59" s="3">
        <v>0.69173306489432895</v>
      </c>
      <c r="O59" s="6"/>
    </row>
    <row r="60" spans="1:15" x14ac:dyDescent="0.3">
      <c r="A60" s="12"/>
      <c r="B60" s="1" t="s">
        <v>81</v>
      </c>
      <c r="C60" s="3">
        <v>0.20385106298103101</v>
      </c>
      <c r="D60" s="3">
        <v>0.33866492168266399</v>
      </c>
      <c r="E60" s="3">
        <v>0.318503688585002</v>
      </c>
      <c r="F60" s="3">
        <v>0.361551045673288</v>
      </c>
    </row>
    <row r="61" spans="1:15" x14ac:dyDescent="0.3">
      <c r="A61" s="12"/>
      <c r="B61" s="1" t="s">
        <v>86</v>
      </c>
      <c r="C61" s="3">
        <v>0.479617171604384</v>
      </c>
      <c r="D61" s="3">
        <v>0.62640641628480997</v>
      </c>
      <c r="E61" s="3">
        <v>0.62044992181797898</v>
      </c>
      <c r="F61" s="3">
        <v>0.64361895944876601</v>
      </c>
    </row>
    <row r="62" spans="1:15" x14ac:dyDescent="0.3">
      <c r="A62" s="12" t="s">
        <v>296</v>
      </c>
      <c r="B62" s="1" t="s">
        <v>16</v>
      </c>
      <c r="C62" s="3">
        <v>0.38076881240172</v>
      </c>
      <c r="D62" s="3">
        <v>0.55153159454609602</v>
      </c>
      <c r="E62" s="3">
        <v>0.571860322646494</v>
      </c>
      <c r="F62" s="3">
        <v>0.53259855988397697</v>
      </c>
    </row>
    <row r="63" spans="1:15" x14ac:dyDescent="0.3">
      <c r="A63" s="12"/>
      <c r="B63" s="1" t="s">
        <v>21</v>
      </c>
      <c r="C63" s="3">
        <v>0.28826615048698101</v>
      </c>
      <c r="D63" s="3">
        <v>0.44752577000957799</v>
      </c>
      <c r="E63" s="3">
        <v>0.53763300666798597</v>
      </c>
      <c r="F63" s="3">
        <v>0.38328692138119302</v>
      </c>
    </row>
    <row r="64" spans="1:15" x14ac:dyDescent="0.3">
      <c r="A64" s="12"/>
      <c r="B64" s="1" t="s">
        <v>26</v>
      </c>
      <c r="C64" s="3">
        <v>0.61639626390128099</v>
      </c>
      <c r="D64" s="3">
        <v>0.76267964442526903</v>
      </c>
      <c r="E64" s="3">
        <v>0.697786299468383</v>
      </c>
      <c r="F64" s="3">
        <v>0.840880599111959</v>
      </c>
    </row>
    <row r="65" spans="1:6" x14ac:dyDescent="0.3">
      <c r="A65" s="12"/>
      <c r="B65" s="1" t="s">
        <v>31</v>
      </c>
      <c r="C65" s="3">
        <v>0.44477084330292799</v>
      </c>
      <c r="D65" s="3">
        <v>0.61569742407886097</v>
      </c>
      <c r="E65" s="3">
        <v>0.60736252568486104</v>
      </c>
      <c r="F65" s="3">
        <v>0.62426426680421199</v>
      </c>
    </row>
    <row r="66" spans="1:6" x14ac:dyDescent="0.3">
      <c r="A66" s="12"/>
      <c r="B66" s="1" t="s">
        <v>36</v>
      </c>
      <c r="C66" s="3">
        <v>0.73987648082972901</v>
      </c>
      <c r="D66" s="3">
        <v>0.85049311141546002</v>
      </c>
      <c r="E66" s="3">
        <v>0.79204936302685502</v>
      </c>
      <c r="F66" s="3">
        <v>0.91824887066535898</v>
      </c>
    </row>
    <row r="67" spans="1:6" x14ac:dyDescent="0.3">
      <c r="A67" s="12"/>
      <c r="B67" s="1" t="s">
        <v>41</v>
      </c>
      <c r="C67" s="3">
        <v>0.57354836174909296</v>
      </c>
      <c r="D67" s="3">
        <v>0.728987269398647</v>
      </c>
      <c r="E67" s="3">
        <v>0.768346666419776</v>
      </c>
      <c r="F67" s="3">
        <v>0.69346382756959102</v>
      </c>
    </row>
    <row r="68" spans="1:6" x14ac:dyDescent="0.3">
      <c r="A68" s="12"/>
      <c r="B68" s="1" t="s">
        <v>46</v>
      </c>
      <c r="C68" s="3">
        <v>0.52005702057784897</v>
      </c>
      <c r="D68" s="3">
        <v>0.68425988438269203</v>
      </c>
      <c r="E68" s="3">
        <v>0.67801940566847796</v>
      </c>
      <c r="F68" s="3">
        <v>0.69061630473489899</v>
      </c>
    </row>
    <row r="69" spans="1:6" x14ac:dyDescent="0.3">
      <c r="A69" s="12"/>
      <c r="B69" s="1" t="s">
        <v>51</v>
      </c>
      <c r="C69" s="3">
        <v>0.60390185995395795</v>
      </c>
      <c r="D69" s="3">
        <v>0.75304091233025106</v>
      </c>
      <c r="E69" s="3">
        <v>0.71302868719437595</v>
      </c>
      <c r="F69" s="3">
        <v>0.79781075708042903</v>
      </c>
    </row>
    <row r="70" spans="1:6" x14ac:dyDescent="0.3">
      <c r="A70" s="12"/>
      <c r="B70" s="1" t="s">
        <v>56</v>
      </c>
      <c r="C70" s="3">
        <v>0.80692212975389999</v>
      </c>
      <c r="D70" s="3">
        <v>0.89314543938183</v>
      </c>
      <c r="E70" s="3">
        <v>0.814192497551676</v>
      </c>
      <c r="F70" s="3">
        <v>0.98905494176440201</v>
      </c>
    </row>
    <row r="71" spans="1:6" x14ac:dyDescent="0.3">
      <c r="A71" s="12"/>
      <c r="B71" s="1" t="s">
        <v>61</v>
      </c>
      <c r="C71" s="3">
        <v>0.125209470557927</v>
      </c>
      <c r="D71" s="3">
        <v>0.22255317580262299</v>
      </c>
      <c r="E71" s="3">
        <v>0.26171546484687502</v>
      </c>
      <c r="F71" s="3">
        <v>0.19358562441067201</v>
      </c>
    </row>
    <row r="72" spans="1:6" x14ac:dyDescent="0.3">
      <c r="A72" s="12"/>
      <c r="B72" s="1" t="s">
        <v>66</v>
      </c>
      <c r="C72" s="3">
        <v>0.64623705654484698</v>
      </c>
      <c r="D72" s="3">
        <v>0.78510813977323701</v>
      </c>
      <c r="E72" s="3">
        <v>0.72096065570835099</v>
      </c>
      <c r="F72" s="3">
        <v>0.86178551784603696</v>
      </c>
    </row>
    <row r="73" spans="1:6" x14ac:dyDescent="0.3">
      <c r="A73" s="12"/>
      <c r="B73" s="1" t="s">
        <v>71</v>
      </c>
      <c r="C73" s="3">
        <v>0.49910559361749302</v>
      </c>
      <c r="D73" s="3">
        <v>0.66587116443625705</v>
      </c>
      <c r="E73" s="3">
        <v>0.64868126004787796</v>
      </c>
      <c r="F73" s="3">
        <v>0.68399692585647098</v>
      </c>
    </row>
    <row r="74" spans="1:6" x14ac:dyDescent="0.3">
      <c r="A74" s="12"/>
      <c r="B74" s="1" t="s">
        <v>76</v>
      </c>
      <c r="C74" s="3">
        <v>0.45535743056222899</v>
      </c>
      <c r="D74" s="3">
        <v>0.62576714283351997</v>
      </c>
      <c r="E74" s="3">
        <v>0.62332153336478902</v>
      </c>
      <c r="F74" s="3">
        <v>0.62823201864981204</v>
      </c>
    </row>
    <row r="75" spans="1:6" x14ac:dyDescent="0.3">
      <c r="A75" s="12"/>
      <c r="B75" s="1" t="s">
        <v>81</v>
      </c>
      <c r="C75" s="3">
        <v>0.340388215476783</v>
      </c>
      <c r="D75" s="3">
        <v>0.50789496885527996</v>
      </c>
      <c r="E75" s="3">
        <v>0.52257464405827403</v>
      </c>
      <c r="F75" s="3">
        <v>0.49401749423515201</v>
      </c>
    </row>
    <row r="76" spans="1:6" x14ac:dyDescent="0.3">
      <c r="A76" s="12"/>
      <c r="B76" s="1" t="s">
        <v>86</v>
      </c>
      <c r="C76" s="3">
        <v>0.50291469212262296</v>
      </c>
      <c r="D76" s="3">
        <v>0.64961111726211496</v>
      </c>
      <c r="E76" s="3">
        <v>0.63982373802536097</v>
      </c>
      <c r="F76" s="3">
        <v>0.66656018785672599</v>
      </c>
    </row>
    <row r="77" spans="1:6" x14ac:dyDescent="0.3">
      <c r="A77" s="12" t="s">
        <v>297</v>
      </c>
      <c r="B77" s="1" t="s">
        <v>16</v>
      </c>
      <c r="C77" s="3">
        <v>0.36842938203614201</v>
      </c>
      <c r="D77" s="3">
        <v>0.53847043460575394</v>
      </c>
      <c r="E77" s="3">
        <v>0.52011888808864704</v>
      </c>
      <c r="F77" s="3">
        <v>0.55816435330080205</v>
      </c>
    </row>
    <row r="78" spans="1:6" x14ac:dyDescent="0.3">
      <c r="A78" s="12"/>
      <c r="B78" s="1" t="s">
        <v>21</v>
      </c>
      <c r="C78" s="3">
        <v>0.41650001275612503</v>
      </c>
      <c r="D78" s="3">
        <v>0.58806919732493101</v>
      </c>
      <c r="E78" s="3">
        <v>0.60624282057788004</v>
      </c>
      <c r="F78" s="3">
        <v>0.57095345967189703</v>
      </c>
    </row>
    <row r="79" spans="1:6" x14ac:dyDescent="0.3">
      <c r="A79" s="12"/>
      <c r="B79" s="1" t="s">
        <v>26</v>
      </c>
      <c r="C79" s="3">
        <v>0.62758944620254897</v>
      </c>
      <c r="D79" s="3">
        <v>0.77118888632120997</v>
      </c>
      <c r="E79" s="3">
        <v>0.74907296391012101</v>
      </c>
      <c r="F79" s="3">
        <v>0.79465045640105803</v>
      </c>
    </row>
    <row r="80" spans="1:6" x14ac:dyDescent="0.3">
      <c r="A80" s="12"/>
      <c r="B80" s="1" t="s">
        <v>31</v>
      </c>
      <c r="C80" s="3">
        <v>0.39710154039075701</v>
      </c>
      <c r="D80" s="3">
        <v>0.56846482365153095</v>
      </c>
      <c r="E80" s="3">
        <v>0.573922423518333</v>
      </c>
      <c r="F80" s="3">
        <v>0.56311004195277903</v>
      </c>
    </row>
    <row r="81" spans="1:6" x14ac:dyDescent="0.3">
      <c r="A81" s="12"/>
      <c r="B81" s="1" t="s">
        <v>36</v>
      </c>
      <c r="C81" s="3">
        <v>0.79916472198490796</v>
      </c>
      <c r="D81" s="3">
        <v>0.88837304580231902</v>
      </c>
      <c r="E81" s="3">
        <v>0.830815602833337</v>
      </c>
      <c r="F81" s="3">
        <v>0.95449906111383298</v>
      </c>
    </row>
    <row r="82" spans="1:6" x14ac:dyDescent="0.3">
      <c r="A82" s="12"/>
      <c r="B82" s="1" t="s">
        <v>41</v>
      </c>
      <c r="C82" s="3">
        <v>0.48091135571277299</v>
      </c>
      <c r="D82" s="3">
        <v>0.64948027288413501</v>
      </c>
      <c r="E82" s="3">
        <v>0.68780658773166903</v>
      </c>
      <c r="F82" s="3">
        <v>0.61519979153228899</v>
      </c>
    </row>
    <row r="83" spans="1:6" x14ac:dyDescent="0.3">
      <c r="A83" s="12"/>
      <c r="B83" s="1" t="s">
        <v>46</v>
      </c>
      <c r="C83" s="3">
        <v>0.58233840877416798</v>
      </c>
      <c r="D83" s="3">
        <v>0.73604787135933003</v>
      </c>
      <c r="E83" s="3">
        <v>0.77185433857515995</v>
      </c>
      <c r="F83" s="3">
        <v>0.70341625944236696</v>
      </c>
    </row>
    <row r="84" spans="1:6" x14ac:dyDescent="0.3">
      <c r="A84" s="12"/>
      <c r="B84" s="1" t="s">
        <v>51</v>
      </c>
      <c r="C84" s="3">
        <v>0.643288723463459</v>
      </c>
      <c r="D84" s="3">
        <v>0.78292842186324796</v>
      </c>
      <c r="E84" s="3">
        <v>0.71087527006782103</v>
      </c>
      <c r="F84" s="3">
        <v>0.87123541501810997</v>
      </c>
    </row>
    <row r="85" spans="1:6" x14ac:dyDescent="0.3">
      <c r="A85" s="12"/>
      <c r="B85" s="1" t="s">
        <v>56</v>
      </c>
      <c r="C85" s="3">
        <v>0.76870074469013905</v>
      </c>
      <c r="D85" s="3">
        <v>0.86922646128563597</v>
      </c>
      <c r="E85" s="3">
        <v>0.78072644700141203</v>
      </c>
      <c r="F85" s="3">
        <v>0.98035563897086497</v>
      </c>
    </row>
    <row r="86" spans="1:6" x14ac:dyDescent="0.3">
      <c r="A86" s="12"/>
      <c r="B86" s="1" t="s">
        <v>61</v>
      </c>
      <c r="C86" s="3">
        <v>0.112840451297495</v>
      </c>
      <c r="D86" s="3">
        <v>0.20279717755753901</v>
      </c>
      <c r="E86" s="3">
        <v>0.26039243310353899</v>
      </c>
      <c r="F86" s="3">
        <v>0.16606570749632499</v>
      </c>
    </row>
    <row r="87" spans="1:6" x14ac:dyDescent="0.3">
      <c r="A87" s="12"/>
      <c r="B87" s="1" t="s">
        <v>66</v>
      </c>
      <c r="C87" s="3">
        <v>0.58171557760027304</v>
      </c>
      <c r="D87" s="3">
        <v>0.73555016570404297</v>
      </c>
      <c r="E87" s="3">
        <v>0.67735270113260004</v>
      </c>
      <c r="F87" s="3">
        <v>0.80468816564541501</v>
      </c>
    </row>
    <row r="88" spans="1:6" x14ac:dyDescent="0.3">
      <c r="A88" s="12"/>
      <c r="B88" s="1" t="s">
        <v>71</v>
      </c>
      <c r="C88" s="3">
        <v>0.52765700771868296</v>
      </c>
      <c r="D88" s="3">
        <v>0.69080559975521705</v>
      </c>
      <c r="E88" s="3">
        <v>0.77719124425948405</v>
      </c>
      <c r="F88" s="3">
        <v>0.62170267708730298</v>
      </c>
    </row>
    <row r="89" spans="1:6" x14ac:dyDescent="0.3">
      <c r="A89" s="12"/>
      <c r="B89" s="1" t="s">
        <v>76</v>
      </c>
      <c r="C89" s="3">
        <v>0.54352816787811498</v>
      </c>
      <c r="D89" s="3">
        <v>0.70426724848863897</v>
      </c>
      <c r="E89" s="3">
        <v>0.72165937758519005</v>
      </c>
      <c r="F89" s="3">
        <v>0.68769369875164099</v>
      </c>
    </row>
    <row r="90" spans="1:6" x14ac:dyDescent="0.3">
      <c r="A90" s="12"/>
      <c r="B90" s="1" t="s">
        <v>81</v>
      </c>
      <c r="C90" s="3">
        <v>0</v>
      </c>
      <c r="D90" s="3">
        <v>0</v>
      </c>
      <c r="E90" s="3">
        <v>0</v>
      </c>
      <c r="F90" s="3">
        <v>0</v>
      </c>
    </row>
    <row r="91" spans="1:6" x14ac:dyDescent="0.3">
      <c r="A91" s="12"/>
      <c r="B91" s="1" t="s">
        <v>86</v>
      </c>
      <c r="C91" s="3">
        <v>0.48926896717897</v>
      </c>
      <c r="D91" s="3">
        <v>0.62326211475739501</v>
      </c>
      <c r="E91" s="3">
        <v>0.61914507845608502</v>
      </c>
      <c r="F91" s="3">
        <v>0.63512390902747795</v>
      </c>
    </row>
    <row r="92" spans="1:6" x14ac:dyDescent="0.3">
      <c r="A92" s="11" t="s">
        <v>390</v>
      </c>
      <c r="B92" s="1" t="s">
        <v>16</v>
      </c>
      <c r="C92" s="3">
        <v>0.23212999981496299</v>
      </c>
      <c r="D92" s="3">
        <v>0.37679465616424102</v>
      </c>
      <c r="E92" s="3">
        <v>0.34554295221533698</v>
      </c>
      <c r="F92" s="3">
        <v>0.41426141703944602</v>
      </c>
    </row>
    <row r="93" spans="1:6" x14ac:dyDescent="0.3">
      <c r="A93" s="11"/>
      <c r="B93" s="1" t="s">
        <v>21</v>
      </c>
      <c r="C93" s="3">
        <v>0.41678663948761402</v>
      </c>
      <c r="D93" s="3">
        <v>0.58835484168363805</v>
      </c>
      <c r="E93" s="3">
        <v>0.62934624802411399</v>
      </c>
      <c r="F93" s="3">
        <v>0.55237671598711402</v>
      </c>
    </row>
    <row r="94" spans="1:6" x14ac:dyDescent="0.3">
      <c r="A94" s="11"/>
      <c r="B94" s="1" t="s">
        <v>26</v>
      </c>
      <c r="C94" s="3">
        <v>0.59179303975610598</v>
      </c>
      <c r="D94" s="3">
        <v>0.74355525495548103</v>
      </c>
      <c r="E94" s="3">
        <v>0.74927874823930196</v>
      </c>
      <c r="F94" s="3">
        <v>0.73791853856732004</v>
      </c>
    </row>
    <row r="95" spans="1:6" x14ac:dyDescent="0.3">
      <c r="A95" s="11"/>
      <c r="B95" s="1" t="s">
        <v>31</v>
      </c>
      <c r="C95" s="3">
        <v>0.42834265329105897</v>
      </c>
      <c r="D95" s="3">
        <v>0.59977576431553004</v>
      </c>
      <c r="E95" s="3">
        <v>0.66192061219435605</v>
      </c>
      <c r="F95" s="3">
        <v>0.54829841083007103</v>
      </c>
    </row>
    <row r="96" spans="1:6" x14ac:dyDescent="0.3">
      <c r="A96" s="11"/>
      <c r="B96" s="1" t="s">
        <v>36</v>
      </c>
      <c r="C96" s="3">
        <v>0.82415379371304898</v>
      </c>
      <c r="D96" s="3">
        <v>0.903601216688524</v>
      </c>
      <c r="E96" s="3">
        <v>0.89598142201867903</v>
      </c>
      <c r="F96" s="3">
        <v>0.91135172675403797</v>
      </c>
    </row>
    <row r="97" spans="1:6" x14ac:dyDescent="0.3">
      <c r="A97" s="11"/>
      <c r="B97" s="1" t="s">
        <v>41</v>
      </c>
      <c r="C97" s="3">
        <v>0.39938855199543399</v>
      </c>
      <c r="D97" s="3">
        <v>0.57080437227520897</v>
      </c>
      <c r="E97" s="3">
        <v>0.56062584058492904</v>
      </c>
      <c r="F97" s="3">
        <v>0.58135933420937602</v>
      </c>
    </row>
    <row r="98" spans="1:6" x14ac:dyDescent="0.3">
      <c r="A98" s="11"/>
      <c r="B98" s="1" t="s">
        <v>46</v>
      </c>
      <c r="C98" s="3">
        <v>0.59531916042898403</v>
      </c>
      <c r="D98" s="3">
        <v>0.74633236432627303</v>
      </c>
      <c r="E98" s="3">
        <v>0.73449562150207204</v>
      </c>
      <c r="F98" s="3">
        <v>0.75855686542707701</v>
      </c>
    </row>
    <row r="99" spans="1:6" x14ac:dyDescent="0.3">
      <c r="A99" s="11"/>
      <c r="B99" s="1" t="s">
        <v>51</v>
      </c>
      <c r="C99" s="3">
        <v>0.59335789775623504</v>
      </c>
      <c r="D99" s="3">
        <v>0.74478922606377496</v>
      </c>
      <c r="E99" s="3">
        <v>0.68707561692603303</v>
      </c>
      <c r="F99" s="3">
        <v>0.81308771524981804</v>
      </c>
    </row>
    <row r="100" spans="1:6" x14ac:dyDescent="0.3">
      <c r="A100" s="11"/>
      <c r="B100" s="1" t="s">
        <v>56</v>
      </c>
      <c r="C100" s="3">
        <v>0.71493952967314001</v>
      </c>
      <c r="D100" s="3">
        <v>0.83377812138881002</v>
      </c>
      <c r="E100" s="3">
        <v>0.73080672281074999</v>
      </c>
      <c r="F100" s="3">
        <v>0.97052623980341901</v>
      </c>
    </row>
    <row r="101" spans="1:6" x14ac:dyDescent="0.3">
      <c r="A101" s="11"/>
      <c r="B101" s="1" t="s">
        <v>61</v>
      </c>
      <c r="C101" s="3">
        <v>0</v>
      </c>
      <c r="D101" s="3">
        <v>0</v>
      </c>
      <c r="E101" s="3">
        <v>0</v>
      </c>
      <c r="F101" s="3">
        <v>0</v>
      </c>
    </row>
    <row r="102" spans="1:6" x14ac:dyDescent="0.3">
      <c r="A102" s="11"/>
      <c r="B102" s="1" t="s">
        <v>66</v>
      </c>
      <c r="C102" s="3">
        <v>0.58239544611637195</v>
      </c>
      <c r="D102" s="3">
        <v>0.73609343043261199</v>
      </c>
      <c r="E102" s="3">
        <v>0.72020686870649997</v>
      </c>
      <c r="F102" s="3">
        <v>0.75269666280123804</v>
      </c>
    </row>
    <row r="103" spans="1:6" x14ac:dyDescent="0.3">
      <c r="A103" s="11"/>
      <c r="B103" s="1" t="s">
        <v>71</v>
      </c>
      <c r="C103" s="3">
        <v>0.37333167941260698</v>
      </c>
      <c r="D103" s="3">
        <v>0.54368756653496297</v>
      </c>
      <c r="E103" s="3">
        <v>0.48365896127088098</v>
      </c>
      <c r="F103" s="3">
        <v>0.62072833062500998</v>
      </c>
    </row>
    <row r="104" spans="1:6" x14ac:dyDescent="0.3">
      <c r="A104" s="11"/>
      <c r="B104" s="1" t="s">
        <v>76</v>
      </c>
      <c r="C104" s="3">
        <v>0.57111780395346901</v>
      </c>
      <c r="D104" s="3">
        <v>0.72702098151563299</v>
      </c>
      <c r="E104" s="3">
        <v>0.731924323230431</v>
      </c>
      <c r="F104" s="3">
        <v>0.72218289999969398</v>
      </c>
    </row>
    <row r="105" spans="1:6" x14ac:dyDescent="0.3">
      <c r="A105" s="11"/>
      <c r="B105" s="1" t="s">
        <v>81</v>
      </c>
      <c r="C105" s="3">
        <v>0</v>
      </c>
      <c r="D105" s="3">
        <v>0</v>
      </c>
      <c r="E105" s="3">
        <v>0</v>
      </c>
      <c r="F105" s="3">
        <v>0</v>
      </c>
    </row>
    <row r="106" spans="1:6" x14ac:dyDescent="0.3">
      <c r="A106" s="11"/>
      <c r="B106" s="1" t="s">
        <v>86</v>
      </c>
      <c r="C106" s="3">
        <v>0.45164687109993101</v>
      </c>
      <c r="D106" s="3">
        <v>0.57961341402462097</v>
      </c>
      <c r="E106" s="3">
        <v>0.56649028126595602</v>
      </c>
      <c r="F106" s="3">
        <v>0.59881034694954405</v>
      </c>
    </row>
    <row r="107" spans="1:6" x14ac:dyDescent="0.3">
      <c r="A107" s="11" t="s">
        <v>391</v>
      </c>
      <c r="B107" s="1" t="s">
        <v>16</v>
      </c>
      <c r="C107" s="3">
        <v>0.18488700826885199</v>
      </c>
      <c r="D107" s="3">
        <v>0.31207534048158098</v>
      </c>
      <c r="E107" s="3">
        <v>0.28126613441878201</v>
      </c>
      <c r="F107" s="3">
        <v>0.35046435026112399</v>
      </c>
    </row>
    <row r="108" spans="1:6" x14ac:dyDescent="0.3">
      <c r="A108" s="11"/>
      <c r="B108" s="1" t="s">
        <v>21</v>
      </c>
      <c r="C108" s="3">
        <v>0.33951918690615102</v>
      </c>
      <c r="D108" s="3">
        <v>0.50692694845279296</v>
      </c>
      <c r="E108" s="3">
        <v>0.53292065053932103</v>
      </c>
      <c r="F108" s="3">
        <v>0.48335104989909</v>
      </c>
    </row>
    <row r="109" spans="1:6" x14ac:dyDescent="0.3">
      <c r="A109" s="11"/>
      <c r="B109" s="1" t="s">
        <v>26</v>
      </c>
      <c r="C109" s="3">
        <v>0.62811790033716997</v>
      </c>
      <c r="D109" s="3">
        <v>0.77158773355061305</v>
      </c>
      <c r="E109" s="3">
        <v>0.78847489035623997</v>
      </c>
      <c r="F109" s="3">
        <v>0.75540877019904795</v>
      </c>
    </row>
    <row r="110" spans="1:6" x14ac:dyDescent="0.3">
      <c r="A110" s="11"/>
      <c r="B110" s="1" t="s">
        <v>31</v>
      </c>
      <c r="C110" s="3">
        <v>0.33117204268325801</v>
      </c>
      <c r="D110" s="3">
        <v>0.497564600313737</v>
      </c>
      <c r="E110" s="3">
        <v>0.50019842490670396</v>
      </c>
      <c r="F110" s="3">
        <v>0.494958367554795</v>
      </c>
    </row>
    <row r="111" spans="1:6" x14ac:dyDescent="0.3">
      <c r="A111" s="11"/>
      <c r="B111" s="1" t="s">
        <v>36</v>
      </c>
      <c r="C111" s="3">
        <v>0.72053363609314702</v>
      </c>
      <c r="D111" s="3">
        <v>0.83756995036642001</v>
      </c>
      <c r="E111" s="3">
        <v>0.86082272227294498</v>
      </c>
      <c r="F111" s="3">
        <v>0.81554035771301303</v>
      </c>
    </row>
    <row r="112" spans="1:6" x14ac:dyDescent="0.3">
      <c r="A112" s="11"/>
      <c r="B112" s="1" t="s">
        <v>41</v>
      </c>
      <c r="C112" s="3">
        <v>0.453489753102923</v>
      </c>
      <c r="D112" s="3">
        <v>0.62400130738425796</v>
      </c>
      <c r="E112" s="3">
        <v>0.60878403047076601</v>
      </c>
      <c r="F112" s="3">
        <v>0.63999883526453805</v>
      </c>
    </row>
    <row r="113" spans="1:6" x14ac:dyDescent="0.3">
      <c r="A113" s="11"/>
      <c r="B113" s="1" t="s">
        <v>46</v>
      </c>
      <c r="C113" s="3">
        <v>0.54451773616851895</v>
      </c>
      <c r="D113" s="3">
        <v>0.70509742091962302</v>
      </c>
      <c r="E113" s="3">
        <v>0.68663490114653303</v>
      </c>
      <c r="F113" s="3">
        <v>0.72458023020443596</v>
      </c>
    </row>
    <row r="114" spans="1:6" x14ac:dyDescent="0.3">
      <c r="A114" s="11"/>
      <c r="B114" s="1" t="s">
        <v>51</v>
      </c>
      <c r="C114" s="3">
        <v>0.48458091693611399</v>
      </c>
      <c r="D114" s="3">
        <v>0.65281846399614896</v>
      </c>
      <c r="E114" s="3">
        <v>0.54703677510505899</v>
      </c>
      <c r="F114" s="3">
        <v>0.80931805305087101</v>
      </c>
    </row>
    <row r="115" spans="1:6" x14ac:dyDescent="0.3">
      <c r="A115" s="11"/>
      <c r="B115" s="1" t="s">
        <v>56</v>
      </c>
      <c r="C115" s="3">
        <v>0.72793223919907402</v>
      </c>
      <c r="D115" s="3">
        <v>0.84254720490252899</v>
      </c>
      <c r="E115" s="3">
        <v>0.76174113400779098</v>
      </c>
      <c r="F115" s="3">
        <v>0.942531671644671</v>
      </c>
    </row>
    <row r="116" spans="1:6" x14ac:dyDescent="0.3">
      <c r="A116" s="11"/>
      <c r="B116" s="1" t="s">
        <v>61</v>
      </c>
      <c r="C116" s="3">
        <v>0</v>
      </c>
      <c r="D116" s="3">
        <v>0</v>
      </c>
      <c r="E116" s="3">
        <v>0</v>
      </c>
      <c r="F116" s="3">
        <v>0</v>
      </c>
    </row>
    <row r="117" spans="1:6" x14ac:dyDescent="0.3">
      <c r="A117" s="11"/>
      <c r="B117" s="1" t="s">
        <v>66</v>
      </c>
      <c r="C117" s="3">
        <v>0.54382084481558302</v>
      </c>
      <c r="D117" s="3">
        <v>0.70451289298473596</v>
      </c>
      <c r="E117" s="3">
        <v>0.66050618601505295</v>
      </c>
      <c r="F117" s="3">
        <v>0.75480213651490202</v>
      </c>
    </row>
    <row r="118" spans="1:6" x14ac:dyDescent="0.3">
      <c r="A118" s="11"/>
      <c r="B118" s="1" t="s">
        <v>71</v>
      </c>
      <c r="C118" s="3">
        <v>0.24056409764176601</v>
      </c>
      <c r="D118" s="3">
        <v>0.38783017838266198</v>
      </c>
      <c r="E118" s="3">
        <v>0.43594624902365098</v>
      </c>
      <c r="F118" s="3">
        <v>0.34927963746738999</v>
      </c>
    </row>
    <row r="119" spans="1:6" x14ac:dyDescent="0.3">
      <c r="A119" s="11"/>
      <c r="B119" s="1" t="s">
        <v>76</v>
      </c>
      <c r="C119" s="3">
        <v>0.54314638087558198</v>
      </c>
      <c r="D119" s="3">
        <v>0.70394667363623797</v>
      </c>
      <c r="E119" s="3">
        <v>0.69312058930762699</v>
      </c>
      <c r="F119" s="3">
        <v>0.71511631665111197</v>
      </c>
    </row>
    <row r="120" spans="1:6" x14ac:dyDescent="0.3">
      <c r="A120" s="11"/>
      <c r="B120" s="1" t="s">
        <v>81</v>
      </c>
      <c r="C120" s="3">
        <v>0</v>
      </c>
      <c r="D120" s="3">
        <v>0</v>
      </c>
      <c r="E120" s="3">
        <v>0</v>
      </c>
      <c r="F120" s="3">
        <v>0</v>
      </c>
    </row>
    <row r="121" spans="1:6" x14ac:dyDescent="0.3">
      <c r="A121" s="11"/>
      <c r="B121" s="1" t="s">
        <v>86</v>
      </c>
      <c r="C121" s="3">
        <v>0.41016298164486698</v>
      </c>
      <c r="D121" s="3">
        <v>0.539034193955096</v>
      </c>
      <c r="E121" s="3">
        <v>0.525532334826462</v>
      </c>
      <c r="F121" s="3">
        <v>0.559667841173214</v>
      </c>
    </row>
    <row r="122" spans="1:6" x14ac:dyDescent="0.3">
      <c r="A122" s="11" t="s">
        <v>392</v>
      </c>
      <c r="B122" s="1" t="s">
        <v>16</v>
      </c>
      <c r="C122" s="3">
        <v>0.18924188081997401</v>
      </c>
      <c r="D122" s="3">
        <v>0.31825633434553002</v>
      </c>
      <c r="E122" s="3">
        <v>0.35015705212468401</v>
      </c>
      <c r="F122" s="3">
        <v>0.29168285173858199</v>
      </c>
    </row>
    <row r="123" spans="1:6" x14ac:dyDescent="0.3">
      <c r="A123" s="11"/>
      <c r="B123" s="1" t="s">
        <v>21</v>
      </c>
      <c r="C123" s="3">
        <v>0.28229891542195201</v>
      </c>
      <c r="D123" s="3">
        <v>0.44030126209544401</v>
      </c>
      <c r="E123" s="3">
        <v>0.52384551625155296</v>
      </c>
      <c r="F123" s="3">
        <v>0.37973942464291299</v>
      </c>
    </row>
    <row r="124" spans="1:6" x14ac:dyDescent="0.3">
      <c r="A124" s="11"/>
      <c r="B124" s="1" t="s">
        <v>26</v>
      </c>
      <c r="C124" s="3">
        <v>0.59372566336698696</v>
      </c>
      <c r="D124" s="3">
        <v>0.74507887651460802</v>
      </c>
      <c r="E124" s="3">
        <v>0.78629464501944801</v>
      </c>
      <c r="F124" s="3">
        <v>0.707968771323918</v>
      </c>
    </row>
    <row r="125" spans="1:6" x14ac:dyDescent="0.3">
      <c r="A125" s="11"/>
      <c r="B125" s="1" t="s">
        <v>31</v>
      </c>
      <c r="C125" s="3">
        <v>0.384789647231846</v>
      </c>
      <c r="D125" s="3">
        <v>0.55573732516130403</v>
      </c>
      <c r="E125" s="3">
        <v>0.53501977977274096</v>
      </c>
      <c r="F125" s="3">
        <v>0.57812399293833705</v>
      </c>
    </row>
    <row r="126" spans="1:6" x14ac:dyDescent="0.3">
      <c r="A126" s="11"/>
      <c r="B126" s="1" t="s">
        <v>36</v>
      </c>
      <c r="C126" s="3">
        <v>0.730430179134122</v>
      </c>
      <c r="D126" s="3">
        <v>0.84421803080158597</v>
      </c>
      <c r="E126" s="3">
        <v>0.79396506069500405</v>
      </c>
      <c r="F126" s="3">
        <v>0.90126223379650905</v>
      </c>
    </row>
    <row r="127" spans="1:6" x14ac:dyDescent="0.3">
      <c r="A127" s="11"/>
      <c r="B127" s="1" t="s">
        <v>41</v>
      </c>
      <c r="C127" s="3">
        <v>0.461980253742103</v>
      </c>
      <c r="D127" s="3">
        <v>0.63199246714805202</v>
      </c>
      <c r="E127" s="3">
        <v>0.63816890667559201</v>
      </c>
      <c r="F127" s="3">
        <v>0.62593443743121102</v>
      </c>
    </row>
    <row r="128" spans="1:6" x14ac:dyDescent="0.3">
      <c r="A128" s="11"/>
      <c r="B128" s="1" t="s">
        <v>46</v>
      </c>
      <c r="C128" s="3">
        <v>0.52328604394685996</v>
      </c>
      <c r="D128" s="3">
        <v>0.68704895712300595</v>
      </c>
      <c r="E128" s="3">
        <v>0.70949521147893402</v>
      </c>
      <c r="F128" s="3">
        <v>0.66597940939766598</v>
      </c>
    </row>
    <row r="129" spans="1:6" x14ac:dyDescent="0.3">
      <c r="A129" s="11"/>
      <c r="B129" s="1" t="s">
        <v>51</v>
      </c>
      <c r="C129" s="3">
        <v>0.57842061768262998</v>
      </c>
      <c r="D129" s="3">
        <v>0.73291062116489902</v>
      </c>
      <c r="E129" s="3">
        <v>0.66212542960574905</v>
      </c>
      <c r="F129" s="3">
        <v>0.82064221015038397</v>
      </c>
    </row>
    <row r="130" spans="1:6" x14ac:dyDescent="0.3">
      <c r="A130" s="11"/>
      <c r="B130" s="1" t="s">
        <v>56</v>
      </c>
      <c r="C130" s="3">
        <v>0.75702737771891104</v>
      </c>
      <c r="D130" s="3">
        <v>0.86171380972074996</v>
      </c>
      <c r="E130" s="3">
        <v>0.788325578584676</v>
      </c>
      <c r="F130" s="3">
        <v>0.95016862672881297</v>
      </c>
    </row>
    <row r="131" spans="1:6" x14ac:dyDescent="0.3">
      <c r="A131" s="11"/>
      <c r="B131" s="1" t="s">
        <v>61</v>
      </c>
      <c r="C131" s="3">
        <v>0</v>
      </c>
      <c r="D131" s="3">
        <v>0</v>
      </c>
      <c r="E131" s="3">
        <v>0</v>
      </c>
      <c r="F131" s="3">
        <v>0</v>
      </c>
    </row>
    <row r="132" spans="1:6" x14ac:dyDescent="0.3">
      <c r="A132" s="11"/>
      <c r="B132" s="1" t="s">
        <v>66</v>
      </c>
      <c r="C132" s="3">
        <v>0.54325802662993505</v>
      </c>
      <c r="D132" s="3">
        <v>0.70404043556639195</v>
      </c>
      <c r="E132" s="3">
        <v>0.64285267718772698</v>
      </c>
      <c r="F132" s="3">
        <v>0.77810138486420499</v>
      </c>
    </row>
    <row r="133" spans="1:6" x14ac:dyDescent="0.3">
      <c r="A133" s="11"/>
      <c r="B133" s="1" t="s">
        <v>71</v>
      </c>
      <c r="C133" s="3">
        <v>0.42001349166406099</v>
      </c>
      <c r="D133" s="3">
        <v>0.59156267757972103</v>
      </c>
      <c r="E133" s="3">
        <v>0.58241662301375896</v>
      </c>
      <c r="F133" s="3">
        <v>0.60100056751528796</v>
      </c>
    </row>
    <row r="134" spans="1:6" x14ac:dyDescent="0.3">
      <c r="A134" s="11"/>
      <c r="B134" s="1" t="s">
        <v>76</v>
      </c>
      <c r="C134" s="3">
        <v>0.44385121076425799</v>
      </c>
      <c r="D134" s="3">
        <v>0.61481571986814199</v>
      </c>
      <c r="E134" s="3">
        <v>0.518849485703195</v>
      </c>
      <c r="F134" s="3">
        <v>0.754337796295935</v>
      </c>
    </row>
    <row r="135" spans="1:6" x14ac:dyDescent="0.3">
      <c r="A135" s="11"/>
      <c r="B135" s="1" t="s">
        <v>81</v>
      </c>
      <c r="C135" s="3">
        <v>0</v>
      </c>
      <c r="D135" s="3">
        <v>0</v>
      </c>
      <c r="E135" s="3">
        <v>0</v>
      </c>
      <c r="F135" s="3">
        <v>0</v>
      </c>
    </row>
    <row r="136" spans="1:6" x14ac:dyDescent="0.3">
      <c r="A136" s="11"/>
      <c r="B136" s="1" t="s">
        <v>86</v>
      </c>
      <c r="C136" s="3">
        <v>0.42202309343740302</v>
      </c>
      <c r="D136" s="3">
        <v>0.55197689407781703</v>
      </c>
      <c r="E136" s="3">
        <v>0.53796542615093301</v>
      </c>
      <c r="F136" s="3">
        <v>0.57535297905883998</v>
      </c>
    </row>
    <row r="137" spans="1:6" x14ac:dyDescent="0.3">
      <c r="A137" s="11" t="s">
        <v>393</v>
      </c>
      <c r="B137" s="1" t="s">
        <v>16</v>
      </c>
      <c r="C137" s="3">
        <v>0.249691986412404</v>
      </c>
      <c r="D137" s="3">
        <v>0.39960564543462601</v>
      </c>
      <c r="E137" s="3">
        <v>0.38105934475264303</v>
      </c>
      <c r="F137" s="3">
        <v>0.42004961724656698</v>
      </c>
    </row>
    <row r="138" spans="1:6" x14ac:dyDescent="0.3">
      <c r="A138" s="11"/>
      <c r="B138" s="1" t="s">
        <v>21</v>
      </c>
      <c r="C138" s="3">
        <v>0.41375645454691801</v>
      </c>
      <c r="D138" s="3">
        <v>0.58532918200471695</v>
      </c>
      <c r="E138" s="3">
        <v>0.58156878767346198</v>
      </c>
      <c r="F138" s="3">
        <v>0.58913852185385895</v>
      </c>
    </row>
    <row r="139" spans="1:6" x14ac:dyDescent="0.3">
      <c r="A139" s="11"/>
      <c r="B139" s="1" t="s">
        <v>26</v>
      </c>
      <c r="C139" s="3">
        <v>0.63272118071966699</v>
      </c>
      <c r="D139" s="3">
        <v>0.77505110877630401</v>
      </c>
      <c r="E139" s="3">
        <v>0.75607427390951898</v>
      </c>
      <c r="F139" s="3">
        <v>0.79500507432482403</v>
      </c>
    </row>
    <row r="140" spans="1:6" x14ac:dyDescent="0.3">
      <c r="A140" s="11"/>
      <c r="B140" s="1" t="s">
        <v>31</v>
      </c>
      <c r="C140" s="3">
        <v>0.44724098161547199</v>
      </c>
      <c r="D140" s="3">
        <v>0.61806013966829798</v>
      </c>
      <c r="E140" s="3">
        <v>0.653186011705429</v>
      </c>
      <c r="F140" s="3">
        <v>0.58651934850949905</v>
      </c>
    </row>
    <row r="141" spans="1:6" x14ac:dyDescent="0.3">
      <c r="A141" s="11"/>
      <c r="B141" s="1" t="s">
        <v>36</v>
      </c>
      <c r="C141" s="3">
        <v>0.81206556731301904</v>
      </c>
      <c r="D141" s="3">
        <v>0.89628717852320605</v>
      </c>
      <c r="E141" s="3">
        <v>0.85385154531337804</v>
      </c>
      <c r="F141" s="3">
        <v>0.94316143054505197</v>
      </c>
    </row>
    <row r="142" spans="1:6" x14ac:dyDescent="0.3">
      <c r="A142" s="11"/>
      <c r="B142" s="1" t="s">
        <v>41</v>
      </c>
      <c r="C142" s="3">
        <v>0.407663064496116</v>
      </c>
      <c r="D142" s="3">
        <v>0.57920545729746997</v>
      </c>
      <c r="E142" s="3">
        <v>0.55949556601975603</v>
      </c>
      <c r="F142" s="3">
        <v>0.60035473399185602</v>
      </c>
    </row>
    <row r="143" spans="1:6" x14ac:dyDescent="0.3">
      <c r="A143" s="11"/>
      <c r="B143" s="1" t="s">
        <v>46</v>
      </c>
      <c r="C143" s="3">
        <v>0.55184351948879395</v>
      </c>
      <c r="D143" s="3">
        <v>0.71121026386807495</v>
      </c>
      <c r="E143" s="3">
        <v>0.76979591401750103</v>
      </c>
      <c r="F143" s="3">
        <v>0.66091132252989804</v>
      </c>
    </row>
    <row r="144" spans="1:6" x14ac:dyDescent="0.3">
      <c r="A144" s="11"/>
      <c r="B144" s="1" t="s">
        <v>51</v>
      </c>
      <c r="C144" s="3">
        <v>0.627048713017755</v>
      </c>
      <c r="D144" s="3">
        <v>0.77078050337502402</v>
      </c>
      <c r="E144" s="3">
        <v>0.70839262930610103</v>
      </c>
      <c r="F144" s="3">
        <v>0.84521858852762499</v>
      </c>
    </row>
    <row r="145" spans="1:6" x14ac:dyDescent="0.3">
      <c r="A145" s="11"/>
      <c r="B145" s="1" t="s">
        <v>56</v>
      </c>
      <c r="C145" s="3">
        <v>0.73321997275574502</v>
      </c>
      <c r="D145" s="3">
        <v>0.84607837929533802</v>
      </c>
      <c r="E145" s="3">
        <v>0.76989305013272102</v>
      </c>
      <c r="F145" s="3">
        <v>0.93899756971993098</v>
      </c>
    </row>
    <row r="146" spans="1:6" x14ac:dyDescent="0.3">
      <c r="A146" s="11"/>
      <c r="B146" s="1" t="s">
        <v>61</v>
      </c>
      <c r="C146" s="3">
        <v>0</v>
      </c>
      <c r="D146" s="3">
        <v>0</v>
      </c>
      <c r="E146" s="3">
        <v>0</v>
      </c>
      <c r="F146" s="3">
        <v>0</v>
      </c>
    </row>
    <row r="147" spans="1:6" x14ac:dyDescent="0.3">
      <c r="A147" s="11"/>
      <c r="B147" s="1" t="s">
        <v>66</v>
      </c>
      <c r="C147" s="3">
        <v>0.58589227461454196</v>
      </c>
      <c r="D147" s="3">
        <v>0.73888029343852601</v>
      </c>
      <c r="E147" s="3">
        <v>0.72736896096382397</v>
      </c>
      <c r="F147" s="3">
        <v>0.75076184135848301</v>
      </c>
    </row>
    <row r="148" spans="1:6" x14ac:dyDescent="0.3">
      <c r="A148" s="11"/>
      <c r="B148" s="1" t="s">
        <v>71</v>
      </c>
      <c r="C148" s="3">
        <v>0.44958773472684999</v>
      </c>
      <c r="D148" s="3">
        <v>0.62029737691119102</v>
      </c>
      <c r="E148" s="3">
        <v>0.60656757090403901</v>
      </c>
      <c r="F148" s="3">
        <v>0.63466313286669696</v>
      </c>
    </row>
    <row r="149" spans="1:6" x14ac:dyDescent="0.3">
      <c r="A149" s="11"/>
      <c r="B149" s="1" t="s">
        <v>76</v>
      </c>
      <c r="C149" s="3">
        <v>0.58428569146376896</v>
      </c>
      <c r="D149" s="3">
        <v>0.73760142455611</v>
      </c>
      <c r="E149" s="3">
        <v>0.76742340027538503</v>
      </c>
      <c r="F149" s="3">
        <v>0.71001050658286102</v>
      </c>
    </row>
    <row r="150" spans="1:6" x14ac:dyDescent="0.3">
      <c r="A150" s="11"/>
      <c r="B150" s="1" t="s">
        <v>81</v>
      </c>
      <c r="C150" s="3">
        <v>0</v>
      </c>
      <c r="D150" s="3">
        <v>0</v>
      </c>
      <c r="E150" s="3">
        <v>0</v>
      </c>
      <c r="F150" s="3">
        <v>0</v>
      </c>
    </row>
    <row r="151" spans="1:6" x14ac:dyDescent="0.3">
      <c r="A151" s="11"/>
      <c r="B151" s="1" t="s">
        <v>86</v>
      </c>
      <c r="C151" s="3">
        <v>0.46392979579793198</v>
      </c>
      <c r="D151" s="3">
        <v>0.59131335379634897</v>
      </c>
      <c r="E151" s="3">
        <v>0.58104836106955404</v>
      </c>
      <c r="F151" s="3">
        <v>0.60534226343265396</v>
      </c>
    </row>
    <row r="152" spans="1:6" x14ac:dyDescent="0.3">
      <c r="A152" s="11" t="s">
        <v>394</v>
      </c>
      <c r="B152" s="1" t="s">
        <v>16</v>
      </c>
      <c r="C152" s="3">
        <v>0.20747655792023501</v>
      </c>
      <c r="D152" s="3">
        <v>0.34365314433531402</v>
      </c>
      <c r="E152" s="3">
        <v>0.32680247522691402</v>
      </c>
      <c r="F152" s="3">
        <v>0.36233600182780201</v>
      </c>
    </row>
    <row r="153" spans="1:6" x14ac:dyDescent="0.3">
      <c r="A153" s="11"/>
      <c r="B153" s="1" t="s">
        <v>21</v>
      </c>
      <c r="C153" s="3">
        <v>0.40468044978718098</v>
      </c>
      <c r="D153" s="3">
        <v>0.57618862688448902</v>
      </c>
      <c r="E153" s="3">
        <v>0.65803045028752005</v>
      </c>
      <c r="F153" s="3">
        <v>0.51245285852936895</v>
      </c>
    </row>
    <row r="154" spans="1:6" x14ac:dyDescent="0.3">
      <c r="A154" s="11"/>
      <c r="B154" s="1" t="s">
        <v>26</v>
      </c>
      <c r="C154" s="3">
        <v>0.68029657546156497</v>
      </c>
      <c r="D154" s="3">
        <v>0.80973393077908595</v>
      </c>
      <c r="E154" s="3">
        <v>0.81171113248776405</v>
      </c>
      <c r="F154" s="3">
        <v>0.80776633797452901</v>
      </c>
    </row>
    <row r="155" spans="1:6" x14ac:dyDescent="0.3">
      <c r="A155" s="11"/>
      <c r="B155" s="1" t="s">
        <v>31</v>
      </c>
      <c r="C155" s="3">
        <v>0.32535970167280998</v>
      </c>
      <c r="D155" s="3">
        <v>0.49097569703101102</v>
      </c>
      <c r="E155" s="3">
        <v>0.45524664073767901</v>
      </c>
      <c r="F155" s="3">
        <v>0.53279062677015598</v>
      </c>
    </row>
    <row r="156" spans="1:6" x14ac:dyDescent="0.3">
      <c r="A156" s="11"/>
      <c r="B156" s="1" t="s">
        <v>36</v>
      </c>
      <c r="C156" s="3">
        <v>0.74730693046876795</v>
      </c>
      <c r="D156" s="3">
        <v>0.85538140716729205</v>
      </c>
      <c r="E156" s="3">
        <v>0.83753562123492598</v>
      </c>
      <c r="F156" s="3">
        <v>0.87400424818031197</v>
      </c>
    </row>
    <row r="157" spans="1:6" x14ac:dyDescent="0.3">
      <c r="A157" s="11"/>
      <c r="B157" s="1" t="s">
        <v>41</v>
      </c>
      <c r="C157" s="3">
        <v>0.458450081741759</v>
      </c>
      <c r="D157" s="3">
        <v>0.62868121093901697</v>
      </c>
      <c r="E157" s="3">
        <v>0.57055674481671703</v>
      </c>
      <c r="F157" s="3">
        <v>0.69999162846393703</v>
      </c>
    </row>
    <row r="158" spans="1:6" x14ac:dyDescent="0.3">
      <c r="A158" s="11"/>
      <c r="B158" s="1" t="s">
        <v>46</v>
      </c>
      <c r="C158" s="3">
        <v>0.56625877150762804</v>
      </c>
      <c r="D158" s="3">
        <v>0.72307179606415395</v>
      </c>
      <c r="E158" s="3">
        <v>0.70573249205631094</v>
      </c>
      <c r="F158" s="3">
        <v>0.74128458769126404</v>
      </c>
    </row>
    <row r="159" spans="1:6" x14ac:dyDescent="0.3">
      <c r="A159" s="11"/>
      <c r="B159" s="1" t="s">
        <v>51</v>
      </c>
      <c r="C159" s="3">
        <v>0.60586975023948897</v>
      </c>
      <c r="D159" s="3">
        <v>0.75456898064009603</v>
      </c>
      <c r="E159" s="3">
        <v>0.67105211159287803</v>
      </c>
      <c r="F159" s="3">
        <v>0.86182933572986598</v>
      </c>
    </row>
    <row r="160" spans="1:6" x14ac:dyDescent="0.3">
      <c r="A160" s="11"/>
      <c r="B160" s="1" t="s">
        <v>56</v>
      </c>
      <c r="C160" s="3">
        <v>0.71693430702153604</v>
      </c>
      <c r="D160" s="3">
        <v>0.83513306722287195</v>
      </c>
      <c r="E160" s="3">
        <v>0.74301209577711502</v>
      </c>
      <c r="F160" s="3">
        <v>0.95332990009250096</v>
      </c>
    </row>
    <row r="161" spans="1:6" x14ac:dyDescent="0.3">
      <c r="A161" s="11"/>
      <c r="B161" s="1" t="s">
        <v>61</v>
      </c>
      <c r="C161" s="3">
        <v>0</v>
      </c>
      <c r="D161" s="3">
        <v>0</v>
      </c>
      <c r="E161" s="3">
        <v>0</v>
      </c>
      <c r="F161" s="3">
        <v>0</v>
      </c>
    </row>
    <row r="162" spans="1:6" x14ac:dyDescent="0.3">
      <c r="A162" s="11"/>
      <c r="B162" s="1" t="s">
        <v>66</v>
      </c>
      <c r="C162" s="3">
        <v>0.56429857284600504</v>
      </c>
      <c r="D162" s="3">
        <v>0.72147169682492096</v>
      </c>
      <c r="E162" s="3">
        <v>0.66971086563501203</v>
      </c>
      <c r="F162" s="3">
        <v>0.78190372631930605</v>
      </c>
    </row>
    <row r="163" spans="1:6" x14ac:dyDescent="0.3">
      <c r="A163" s="11"/>
      <c r="B163" s="1" t="s">
        <v>71</v>
      </c>
      <c r="C163" s="3">
        <v>0.27756885975703999</v>
      </c>
      <c r="D163" s="3">
        <v>0.434526652144334</v>
      </c>
      <c r="E163" s="3">
        <v>0.54715073576387296</v>
      </c>
      <c r="F163" s="3">
        <v>0.36035260886731901</v>
      </c>
    </row>
    <row r="164" spans="1:6" x14ac:dyDescent="0.3">
      <c r="A164" s="11"/>
      <c r="B164" s="1" t="s">
        <v>76</v>
      </c>
      <c r="C164" s="3">
        <v>0.58265345859768003</v>
      </c>
      <c r="D164" s="3">
        <v>0.73629947912153004</v>
      </c>
      <c r="E164" s="3">
        <v>0.67523595720458995</v>
      </c>
      <c r="F164" s="3">
        <v>0.809505368538737</v>
      </c>
    </row>
    <row r="165" spans="1:6" x14ac:dyDescent="0.3">
      <c r="A165" s="11"/>
      <c r="B165" s="1" t="s">
        <v>81</v>
      </c>
      <c r="C165" s="3">
        <v>0</v>
      </c>
      <c r="D165" s="3">
        <v>0</v>
      </c>
      <c r="E165" s="3">
        <v>0</v>
      </c>
      <c r="F165" s="3">
        <v>0</v>
      </c>
    </row>
    <row r="166" spans="1:6" x14ac:dyDescent="0.3">
      <c r="A166" s="11"/>
      <c r="B166" s="1" t="s">
        <v>86</v>
      </c>
      <c r="C166" s="3">
        <v>0.43836814407297803</v>
      </c>
      <c r="D166" s="3">
        <v>0.56497754922529397</v>
      </c>
      <c r="E166" s="3">
        <v>0.54798409448723595</v>
      </c>
      <c r="F166" s="3">
        <v>0.59268194492750703</v>
      </c>
    </row>
    <row r="167" spans="1:6" x14ac:dyDescent="0.3">
      <c r="A167" s="11" t="s">
        <v>395</v>
      </c>
      <c r="B167" s="1" t="s">
        <v>16</v>
      </c>
      <c r="C167" s="3">
        <v>0.21260467106935799</v>
      </c>
      <c r="D167" s="3">
        <v>0.35065784610885398</v>
      </c>
      <c r="E167" s="3">
        <v>0.270442575783718</v>
      </c>
      <c r="F167" s="3">
        <v>0.49852365248948499</v>
      </c>
    </row>
    <row r="168" spans="1:6" x14ac:dyDescent="0.3">
      <c r="A168" s="11"/>
      <c r="B168" s="1" t="s">
        <v>21</v>
      </c>
      <c r="C168" s="3">
        <v>0.29236646449771803</v>
      </c>
      <c r="D168" s="3">
        <v>0.45245133254265801</v>
      </c>
      <c r="E168" s="3">
        <v>0.53187459822876404</v>
      </c>
      <c r="F168" s="3">
        <v>0.39366630397338798</v>
      </c>
    </row>
    <row r="169" spans="1:6" x14ac:dyDescent="0.3">
      <c r="A169" s="11"/>
      <c r="B169" s="1" t="s">
        <v>26</v>
      </c>
      <c r="C169" s="3">
        <v>0.64282506497476899</v>
      </c>
      <c r="D169" s="3">
        <v>0.78258492481016695</v>
      </c>
      <c r="E169" s="3">
        <v>0.72236459231845096</v>
      </c>
      <c r="F169" s="3">
        <v>0.85375902875452503</v>
      </c>
    </row>
    <row r="170" spans="1:6" x14ac:dyDescent="0.3">
      <c r="A170" s="11"/>
      <c r="B170" s="1" t="s">
        <v>31</v>
      </c>
      <c r="C170" s="3">
        <v>0.42902692307614398</v>
      </c>
      <c r="D170" s="3">
        <v>0.60044624233196997</v>
      </c>
      <c r="E170" s="3">
        <v>0.55870696050590796</v>
      </c>
      <c r="F170" s="3">
        <v>0.64892547220199104</v>
      </c>
    </row>
    <row r="171" spans="1:6" x14ac:dyDescent="0.3">
      <c r="A171" s="11"/>
      <c r="B171" s="1" t="s">
        <v>36</v>
      </c>
      <c r="C171" s="3">
        <v>0.765969006861277</v>
      </c>
      <c r="D171" s="3">
        <v>0.86747729307284105</v>
      </c>
      <c r="E171" s="3">
        <v>0.82722734811633702</v>
      </c>
      <c r="F171" s="3">
        <v>0.91184440343331896</v>
      </c>
    </row>
    <row r="172" spans="1:6" x14ac:dyDescent="0.3">
      <c r="A172" s="11"/>
      <c r="B172" s="1" t="s">
        <v>41</v>
      </c>
      <c r="C172" s="3">
        <v>0.46496957222268398</v>
      </c>
      <c r="D172" s="3">
        <v>0.63478393140578604</v>
      </c>
      <c r="E172" s="3">
        <v>0.57741481459226296</v>
      </c>
      <c r="F172" s="3">
        <v>0.7048104572817</v>
      </c>
    </row>
    <row r="173" spans="1:6" x14ac:dyDescent="0.3">
      <c r="A173" s="11"/>
      <c r="B173" s="1" t="s">
        <v>46</v>
      </c>
      <c r="C173" s="3">
        <v>0.51291004190923895</v>
      </c>
      <c r="D173" s="3">
        <v>0.67804433535514697</v>
      </c>
      <c r="E173" s="3">
        <v>0.627285931303313</v>
      </c>
      <c r="F173" s="3">
        <v>0.73774044128626604</v>
      </c>
    </row>
    <row r="174" spans="1:6" x14ac:dyDescent="0.3">
      <c r="A174" s="11"/>
      <c r="B174" s="1" t="s">
        <v>51</v>
      </c>
      <c r="C174" s="3">
        <v>0.61426910397939805</v>
      </c>
      <c r="D174" s="3">
        <v>0.76104919863130505</v>
      </c>
      <c r="E174" s="3">
        <v>0.68250950935012999</v>
      </c>
      <c r="F174" s="3">
        <v>0.86001534826665504</v>
      </c>
    </row>
    <row r="175" spans="1:6" x14ac:dyDescent="0.3">
      <c r="A175" s="11"/>
      <c r="B175" s="1" t="s">
        <v>56</v>
      </c>
      <c r="C175" s="3">
        <v>0.77860253332756102</v>
      </c>
      <c r="D175" s="3">
        <v>0.87552167360392197</v>
      </c>
      <c r="E175" s="3">
        <v>0.79967752240854595</v>
      </c>
      <c r="F175" s="3">
        <v>0.96725991175147896</v>
      </c>
    </row>
    <row r="176" spans="1:6" x14ac:dyDescent="0.3">
      <c r="A176" s="11"/>
      <c r="B176" s="1" t="s">
        <v>61</v>
      </c>
      <c r="C176" s="3">
        <v>0</v>
      </c>
      <c r="D176" s="3">
        <v>0</v>
      </c>
      <c r="E176" s="3">
        <v>0</v>
      </c>
      <c r="F176" s="3">
        <v>0</v>
      </c>
    </row>
    <row r="177" spans="1:6" x14ac:dyDescent="0.3">
      <c r="A177" s="11"/>
      <c r="B177" s="1" t="s">
        <v>66</v>
      </c>
      <c r="C177" s="3">
        <v>0.62329127340919699</v>
      </c>
      <c r="D177" s="3">
        <v>0.76793522347985699</v>
      </c>
      <c r="E177" s="3">
        <v>0.71953717149554997</v>
      </c>
      <c r="F177" s="3">
        <v>0.82331356127308697</v>
      </c>
    </row>
    <row r="178" spans="1:6" x14ac:dyDescent="0.3">
      <c r="A178" s="11"/>
      <c r="B178" s="1" t="s">
        <v>71</v>
      </c>
      <c r="C178" s="3">
        <v>0.457991484231488</v>
      </c>
      <c r="D178" s="3">
        <v>0.62824987550993405</v>
      </c>
      <c r="E178" s="3">
        <v>0.58812561009376596</v>
      </c>
      <c r="F178" s="3">
        <v>0.67424988079722503</v>
      </c>
    </row>
    <row r="179" spans="1:6" x14ac:dyDescent="0.3">
      <c r="A179" s="11"/>
      <c r="B179" s="1" t="s">
        <v>76</v>
      </c>
      <c r="C179" s="3">
        <v>0.52567448982717802</v>
      </c>
      <c r="D179" s="3">
        <v>0.68910438410322306</v>
      </c>
      <c r="E179" s="3">
        <v>0.670332830165976</v>
      </c>
      <c r="F179" s="3">
        <v>0.70895755921739301</v>
      </c>
    </row>
    <row r="180" spans="1:6" x14ac:dyDescent="0.3">
      <c r="A180" s="11"/>
      <c r="B180" s="1" t="s">
        <v>81</v>
      </c>
      <c r="C180" s="3">
        <v>0</v>
      </c>
      <c r="D180" s="3">
        <v>0</v>
      </c>
      <c r="E180" s="3">
        <v>0</v>
      </c>
      <c r="F180" s="3">
        <v>0</v>
      </c>
    </row>
    <row r="181" spans="1:6" x14ac:dyDescent="0.3">
      <c r="A181" s="11"/>
      <c r="B181" s="1" t="s">
        <v>86</v>
      </c>
      <c r="C181" s="3">
        <v>0.45146433067042901</v>
      </c>
      <c r="D181" s="3">
        <v>0.57773616149683304</v>
      </c>
      <c r="E181" s="3">
        <v>0.54110710459733702</v>
      </c>
      <c r="F181" s="3">
        <v>0.62736185862332206</v>
      </c>
    </row>
    <row r="182" spans="1:6" x14ac:dyDescent="0.3">
      <c r="A182" s="12" t="s">
        <v>443</v>
      </c>
      <c r="B182" s="1" t="s">
        <v>16</v>
      </c>
      <c r="C182" s="3">
        <v>0.39812225357997</v>
      </c>
      <c r="D182" s="3">
        <v>0.56950993028049701</v>
      </c>
      <c r="E182" s="3">
        <v>0.60728067061087199</v>
      </c>
      <c r="F182" s="3">
        <v>0.53616249265405602</v>
      </c>
    </row>
    <row r="183" spans="1:6" x14ac:dyDescent="0.3">
      <c r="A183" s="12"/>
      <c r="B183" s="1" t="s">
        <v>21</v>
      </c>
      <c r="C183" s="3">
        <v>0.36930107673525903</v>
      </c>
      <c r="D183" s="3">
        <v>0.53940084180136805</v>
      </c>
      <c r="E183" s="3">
        <v>0.54918368390025596</v>
      </c>
      <c r="F183" s="3">
        <v>0.52996043165530504</v>
      </c>
    </row>
    <row r="184" spans="1:6" x14ac:dyDescent="0.3">
      <c r="A184" s="12"/>
      <c r="B184" s="1" t="s">
        <v>26</v>
      </c>
      <c r="C184" s="3">
        <v>0.66900690978137001</v>
      </c>
      <c r="D184" s="3">
        <v>0.80168261240932304</v>
      </c>
      <c r="E184" s="3">
        <v>0.78485744247822498</v>
      </c>
      <c r="F184" s="3">
        <v>0.81924495538204001</v>
      </c>
    </row>
    <row r="185" spans="1:6" x14ac:dyDescent="0.3">
      <c r="A185" s="12"/>
      <c r="B185" s="1" t="s">
        <v>31</v>
      </c>
      <c r="C185" s="3">
        <v>0.44962429963484701</v>
      </c>
      <c r="D185" s="3">
        <v>0.62033217813485197</v>
      </c>
      <c r="E185" s="3">
        <v>0.67640492727748203</v>
      </c>
      <c r="F185" s="3">
        <v>0.57284440925203495</v>
      </c>
    </row>
    <row r="186" spans="1:6" x14ac:dyDescent="0.3">
      <c r="A186" s="12"/>
      <c r="B186" s="1" t="s">
        <v>36</v>
      </c>
      <c r="C186" s="3">
        <v>0.79006817816378005</v>
      </c>
      <c r="D186" s="3">
        <v>0.88272411945138096</v>
      </c>
      <c r="E186" s="3">
        <v>0.82607665439233202</v>
      </c>
      <c r="F186" s="3">
        <v>0.94771266473483395</v>
      </c>
    </row>
    <row r="187" spans="1:6" x14ac:dyDescent="0.3">
      <c r="A187" s="12"/>
      <c r="B187" s="1" t="s">
        <v>41</v>
      </c>
      <c r="C187" s="3">
        <v>0.51719083378869402</v>
      </c>
      <c r="D187" s="3">
        <v>0.68177426632242</v>
      </c>
      <c r="E187" s="3">
        <v>0.68729736568830901</v>
      </c>
      <c r="F187" s="3">
        <v>0.67633922621037601</v>
      </c>
    </row>
    <row r="188" spans="1:6" x14ac:dyDescent="0.3">
      <c r="A188" s="12"/>
      <c r="B188" s="1" t="s">
        <v>46</v>
      </c>
      <c r="C188" s="3">
        <v>0.57242221684940398</v>
      </c>
      <c r="D188" s="3">
        <v>0.72807698939327103</v>
      </c>
      <c r="E188" s="3">
        <v>0.77740852504977098</v>
      </c>
      <c r="F188" s="3">
        <v>0.68463267397900296</v>
      </c>
    </row>
    <row r="189" spans="1:6" x14ac:dyDescent="0.3">
      <c r="A189" s="12"/>
      <c r="B189" s="1" t="s">
        <v>51</v>
      </c>
      <c r="C189" s="3">
        <v>0.65433747130703601</v>
      </c>
      <c r="D189" s="3">
        <v>0.79105682202805505</v>
      </c>
      <c r="E189" s="3">
        <v>0.70670041716193499</v>
      </c>
      <c r="F189" s="3">
        <v>0.898281617691991</v>
      </c>
    </row>
    <row r="190" spans="1:6" x14ac:dyDescent="0.3">
      <c r="A190" s="12"/>
      <c r="B190" s="1" t="s">
        <v>56</v>
      </c>
      <c r="C190" s="3">
        <v>0.82135204705256404</v>
      </c>
      <c r="D190" s="3">
        <v>0.90191465003345395</v>
      </c>
      <c r="E190" s="3">
        <v>0.84886676079345802</v>
      </c>
      <c r="F190" s="3">
        <v>0.96203469765851801</v>
      </c>
    </row>
    <row r="191" spans="1:6" x14ac:dyDescent="0.3">
      <c r="A191" s="12"/>
      <c r="B191" s="1" t="s">
        <v>61</v>
      </c>
      <c r="C191" s="3">
        <v>0.22171081470340101</v>
      </c>
      <c r="D191" s="3">
        <v>0.36295138265961302</v>
      </c>
      <c r="E191" s="3">
        <v>0.39620081411098401</v>
      </c>
      <c r="F191" s="3">
        <v>0.33485050894325602</v>
      </c>
    </row>
    <row r="192" spans="1:6" x14ac:dyDescent="0.3">
      <c r="A192" s="12"/>
      <c r="B192" s="1" t="s">
        <v>66</v>
      </c>
      <c r="C192" s="3">
        <v>0.57312618108773605</v>
      </c>
      <c r="D192" s="3">
        <v>0.72864616707535701</v>
      </c>
      <c r="E192" s="3">
        <v>0.69758567239509395</v>
      </c>
      <c r="F192" s="3">
        <v>0.76260153913469397</v>
      </c>
    </row>
    <row r="193" spans="1:6" x14ac:dyDescent="0.3">
      <c r="A193" s="12"/>
      <c r="B193" s="1" t="s">
        <v>71</v>
      </c>
      <c r="C193" s="3">
        <v>0.53375830892825804</v>
      </c>
      <c r="D193" s="3">
        <v>0.69601358417576498</v>
      </c>
      <c r="E193" s="3">
        <v>0.73867643223995305</v>
      </c>
      <c r="F193" s="3">
        <v>0.65800970731861996</v>
      </c>
    </row>
    <row r="194" spans="1:6" x14ac:dyDescent="0.3">
      <c r="A194" s="12"/>
      <c r="B194" s="1" t="s">
        <v>76</v>
      </c>
      <c r="C194" s="3">
        <v>0.555610713188185</v>
      </c>
      <c r="D194" s="3">
        <v>0.71433130214110496</v>
      </c>
      <c r="E194" s="3">
        <v>0.76980623194848996</v>
      </c>
      <c r="F194" s="3">
        <v>0.66631435872610101</v>
      </c>
    </row>
    <row r="195" spans="1:6" x14ac:dyDescent="0.3">
      <c r="A195" s="12"/>
      <c r="B195" s="1" t="s">
        <v>81</v>
      </c>
      <c r="C195" s="3">
        <v>0.201738647281449</v>
      </c>
      <c r="D195" s="3">
        <v>0.33574462756576601</v>
      </c>
      <c r="E195" s="3">
        <v>0.46226890533390003</v>
      </c>
      <c r="F195" s="3">
        <v>0.26359731381203</v>
      </c>
    </row>
    <row r="196" spans="1:6" x14ac:dyDescent="0.3">
      <c r="A196" s="12"/>
      <c r="B196" s="1" t="s">
        <v>86</v>
      </c>
      <c r="C196" s="3">
        <v>0.52338356800585395</v>
      </c>
      <c r="D196" s="3">
        <v>0.668154248105159</v>
      </c>
      <c r="E196" s="3">
        <v>0.68061532167007599</v>
      </c>
      <c r="F196" s="3">
        <v>0.66518475693948997</v>
      </c>
    </row>
    <row r="197" spans="1:6" x14ac:dyDescent="0.3">
      <c r="A197" s="12" t="s">
        <v>444</v>
      </c>
      <c r="B197" s="1" t="s">
        <v>16</v>
      </c>
      <c r="C197" s="3">
        <v>0.365736311510721</v>
      </c>
      <c r="D197" s="3">
        <v>0.53558847111000396</v>
      </c>
      <c r="E197" s="3">
        <v>0.55436775808373095</v>
      </c>
      <c r="F197" s="3">
        <v>0.51803979894019903</v>
      </c>
    </row>
    <row r="198" spans="1:6" x14ac:dyDescent="0.3">
      <c r="A198" s="12"/>
      <c r="B198" s="1" t="s">
        <v>21</v>
      </c>
      <c r="C198" s="3">
        <v>0.41541240322540401</v>
      </c>
      <c r="D198" s="3">
        <v>0.58698426307240703</v>
      </c>
      <c r="E198" s="3">
        <v>0.61139727296536495</v>
      </c>
      <c r="F198" s="3">
        <v>0.56444601069155997</v>
      </c>
    </row>
    <row r="199" spans="1:6" x14ac:dyDescent="0.3">
      <c r="A199" s="12"/>
      <c r="B199" s="1" t="s">
        <v>26</v>
      </c>
      <c r="C199" s="3">
        <v>0.61917394863658903</v>
      </c>
      <c r="D199" s="3">
        <v>0.76480226124927297</v>
      </c>
      <c r="E199" s="3">
        <v>0.71955266546650698</v>
      </c>
      <c r="F199" s="3">
        <v>0.81612487081636598</v>
      </c>
    </row>
    <row r="200" spans="1:6" x14ac:dyDescent="0.3">
      <c r="A200" s="12"/>
      <c r="B200" s="1" t="s">
        <v>31</v>
      </c>
      <c r="C200" s="3">
        <v>0.40651324074359402</v>
      </c>
      <c r="D200" s="3">
        <v>0.57804395858894198</v>
      </c>
      <c r="E200" s="3">
        <v>0.68655747552017499</v>
      </c>
      <c r="F200" s="3">
        <v>0.49915089937426199</v>
      </c>
    </row>
    <row r="201" spans="1:6" x14ac:dyDescent="0.3">
      <c r="A201" s="12"/>
      <c r="B201" s="1" t="s">
        <v>36</v>
      </c>
      <c r="C201" s="3">
        <v>0.73400003441767403</v>
      </c>
      <c r="D201" s="3">
        <v>0.84659748540797697</v>
      </c>
      <c r="E201" s="3">
        <v>0.82192514865047395</v>
      </c>
      <c r="F201" s="3">
        <v>0.87279687655021998</v>
      </c>
    </row>
    <row r="202" spans="1:6" x14ac:dyDescent="0.3">
      <c r="A202" s="12"/>
      <c r="B202" s="1" t="s">
        <v>41</v>
      </c>
      <c r="C202" s="3">
        <v>0.62358185563316204</v>
      </c>
      <c r="D202" s="3">
        <v>0.76815573353396305</v>
      </c>
      <c r="E202" s="3">
        <v>0.77616697250125299</v>
      </c>
      <c r="F202" s="3">
        <v>0.76030818172055503</v>
      </c>
    </row>
    <row r="203" spans="1:6" x14ac:dyDescent="0.3">
      <c r="A203" s="12"/>
      <c r="B203" s="1" t="s">
        <v>46</v>
      </c>
      <c r="C203" s="3">
        <v>0.61347656574373099</v>
      </c>
      <c r="D203" s="3">
        <v>0.76044062711372495</v>
      </c>
      <c r="E203" s="3">
        <v>0.74120384773776504</v>
      </c>
      <c r="F203" s="3">
        <v>0.78070253269549905</v>
      </c>
    </row>
    <row r="204" spans="1:6" x14ac:dyDescent="0.3">
      <c r="A204" s="12"/>
      <c r="B204" s="1" t="s">
        <v>51</v>
      </c>
      <c r="C204" s="3">
        <v>0.56654284454904402</v>
      </c>
      <c r="D204" s="3">
        <v>0.72330335109619404</v>
      </c>
      <c r="E204" s="3">
        <v>0.61491701795863696</v>
      </c>
      <c r="F204" s="3">
        <v>0.87807422741359897</v>
      </c>
    </row>
    <row r="205" spans="1:6" x14ac:dyDescent="0.3">
      <c r="A205" s="12"/>
      <c r="B205" s="1" t="s">
        <v>56</v>
      </c>
      <c r="C205" s="3">
        <v>0.74682623923538405</v>
      </c>
      <c r="D205" s="3">
        <v>0.85506643129231097</v>
      </c>
      <c r="E205" s="3">
        <v>0.77880003384940699</v>
      </c>
      <c r="F205" s="3">
        <v>0.94789164692533701</v>
      </c>
    </row>
    <row r="206" spans="1:6" x14ac:dyDescent="0.3">
      <c r="A206" s="12"/>
      <c r="B206" s="1" t="s">
        <v>61</v>
      </c>
      <c r="C206" s="3">
        <v>0.216070450238359</v>
      </c>
      <c r="D206" s="3">
        <v>0.35535844193238603</v>
      </c>
      <c r="E206" s="3">
        <v>0.33966326638640298</v>
      </c>
      <c r="F206" s="3">
        <v>0.37257437549335398</v>
      </c>
    </row>
    <row r="207" spans="1:6" x14ac:dyDescent="0.3">
      <c r="A207" s="12"/>
      <c r="B207" s="1" t="s">
        <v>66</v>
      </c>
      <c r="C207" s="3">
        <v>0.59685782086837802</v>
      </c>
      <c r="D207" s="3">
        <v>0.74754034212489195</v>
      </c>
      <c r="E207" s="3">
        <v>0.73993679144727498</v>
      </c>
      <c r="F207" s="3">
        <v>0.75530178262556302</v>
      </c>
    </row>
    <row r="208" spans="1:6" x14ac:dyDescent="0.3">
      <c r="A208" s="12"/>
      <c r="B208" s="1" t="s">
        <v>71</v>
      </c>
      <c r="C208" s="3">
        <v>0.33438988754416799</v>
      </c>
      <c r="D208" s="3">
        <v>0.50118768234909905</v>
      </c>
      <c r="E208" s="3">
        <v>0.66533402194068803</v>
      </c>
      <c r="F208" s="3">
        <v>0.402007367393798</v>
      </c>
    </row>
    <row r="209" spans="1:6" x14ac:dyDescent="0.3">
      <c r="A209" s="12"/>
      <c r="B209" s="1" t="s">
        <v>76</v>
      </c>
      <c r="C209" s="3">
        <v>0.58540363598716205</v>
      </c>
      <c r="D209" s="3">
        <v>0.73849160264181801</v>
      </c>
      <c r="E209" s="3">
        <v>0.73085798661704704</v>
      </c>
      <c r="F209" s="3">
        <v>0.74628636393762904</v>
      </c>
    </row>
    <row r="210" spans="1:6" x14ac:dyDescent="0.3">
      <c r="A210" s="12"/>
      <c r="B210" s="1" t="s">
        <v>81</v>
      </c>
      <c r="C210" s="3">
        <v>6.6174812332835994E-2</v>
      </c>
      <c r="D210" s="3">
        <v>0.12413501344689</v>
      </c>
      <c r="E210" s="3">
        <v>0.14418588326121201</v>
      </c>
      <c r="F210" s="3">
        <v>0.108979970818314</v>
      </c>
    </row>
    <row r="211" spans="1:6" x14ac:dyDescent="0.3">
      <c r="A211" s="12"/>
      <c r="B211" s="1" t="s">
        <v>86</v>
      </c>
      <c r="C211" s="3">
        <v>0.49215428933330102</v>
      </c>
      <c r="D211" s="3">
        <v>0.634692547497134</v>
      </c>
      <c r="E211" s="3">
        <v>0.63749043874185296</v>
      </c>
      <c r="F211" s="3">
        <v>0.64447749324258996</v>
      </c>
    </row>
    <row r="212" spans="1:6" x14ac:dyDescent="0.3">
      <c r="A212" s="12" t="s">
        <v>445</v>
      </c>
      <c r="B212" s="1" t="s">
        <v>16</v>
      </c>
      <c r="C212" s="3">
        <v>0.37128343929180002</v>
      </c>
      <c r="D212" s="3">
        <v>0.541512321454928</v>
      </c>
      <c r="E212" s="3">
        <v>0.60249612687010101</v>
      </c>
      <c r="F212" s="3">
        <v>0.49173917770995701</v>
      </c>
    </row>
    <row r="213" spans="1:6" x14ac:dyDescent="0.3">
      <c r="A213" s="12"/>
      <c r="B213" s="1" t="s">
        <v>21</v>
      </c>
      <c r="C213" s="3">
        <v>0.25990320595982402</v>
      </c>
      <c r="D213" s="3">
        <v>0.41257646576400903</v>
      </c>
      <c r="E213" s="3">
        <v>0.47061180110711998</v>
      </c>
      <c r="F213" s="3">
        <v>0.36728346804520901</v>
      </c>
    </row>
    <row r="214" spans="1:6" x14ac:dyDescent="0.3">
      <c r="A214" s="12"/>
      <c r="B214" s="1" t="s">
        <v>26</v>
      </c>
      <c r="C214" s="3">
        <v>0.56738921065707204</v>
      </c>
      <c r="D214" s="3">
        <v>0.72399274768417499</v>
      </c>
      <c r="E214" s="3">
        <v>0.727259876053447</v>
      </c>
      <c r="F214" s="3">
        <v>0.72075484240375198</v>
      </c>
    </row>
    <row r="215" spans="1:6" x14ac:dyDescent="0.3">
      <c r="A215" s="12"/>
      <c r="B215" s="1" t="s">
        <v>31</v>
      </c>
      <c r="C215" s="3">
        <v>0.397697857163897</v>
      </c>
      <c r="D215" s="3">
        <v>0.56907557685017196</v>
      </c>
      <c r="E215" s="3">
        <v>0.58760645538802303</v>
      </c>
      <c r="F215" s="3">
        <v>0.55167775328241797</v>
      </c>
    </row>
    <row r="216" spans="1:6" x14ac:dyDescent="0.3">
      <c r="A216" s="12"/>
      <c r="B216" s="1" t="s">
        <v>36</v>
      </c>
      <c r="C216" s="3">
        <v>0.73440198086363395</v>
      </c>
      <c r="D216" s="3">
        <v>0.84686478563400103</v>
      </c>
      <c r="E216" s="3">
        <v>0.83146062667708498</v>
      </c>
      <c r="F216" s="3">
        <v>0.86285049286007198</v>
      </c>
    </row>
    <row r="217" spans="1:6" x14ac:dyDescent="0.3">
      <c r="A217" s="12"/>
      <c r="B217" s="1" t="s">
        <v>41</v>
      </c>
      <c r="C217" s="3">
        <v>0.58779800270669502</v>
      </c>
      <c r="D217" s="3">
        <v>0.74039393134981202</v>
      </c>
      <c r="E217" s="3">
        <v>0.79774669684412802</v>
      </c>
      <c r="F217" s="3">
        <v>0.69073463276716196</v>
      </c>
    </row>
    <row r="218" spans="1:6" x14ac:dyDescent="0.3">
      <c r="A218" s="12"/>
      <c r="B218" s="1" t="s">
        <v>46</v>
      </c>
      <c r="C218" s="3">
        <v>0.53789756675441802</v>
      </c>
      <c r="D218" s="3">
        <v>0.69952326914671903</v>
      </c>
      <c r="E218" s="3">
        <v>0.695234223185212</v>
      </c>
      <c r="F218" s="3">
        <v>0.70386556366068398</v>
      </c>
    </row>
    <row r="219" spans="1:6" x14ac:dyDescent="0.3">
      <c r="A219" s="12"/>
      <c r="B219" s="1" t="s">
        <v>51</v>
      </c>
      <c r="C219" s="3">
        <v>0.67111691986108502</v>
      </c>
      <c r="D219" s="3">
        <v>0.80319564943052901</v>
      </c>
      <c r="E219" s="3">
        <v>0.79201082913659604</v>
      </c>
      <c r="F219" s="3">
        <v>0.81470090014963903</v>
      </c>
    </row>
    <row r="220" spans="1:6" x14ac:dyDescent="0.3">
      <c r="A220" s="12"/>
      <c r="B220" s="1" t="s">
        <v>56</v>
      </c>
      <c r="C220" s="3">
        <v>0.79220815696679603</v>
      </c>
      <c r="D220" s="3">
        <v>0.884058198136494</v>
      </c>
      <c r="E220" s="3">
        <v>0.81204254094043704</v>
      </c>
      <c r="F220" s="3">
        <v>0.97009025121013204</v>
      </c>
    </row>
    <row r="221" spans="1:6" x14ac:dyDescent="0.3">
      <c r="A221" s="12"/>
      <c r="B221" s="1" t="s">
        <v>61</v>
      </c>
      <c r="C221" s="3">
        <v>0.21664400854526</v>
      </c>
      <c r="D221" s="3">
        <v>0.35613376965428301</v>
      </c>
      <c r="E221" s="3">
        <v>0.369868407418664</v>
      </c>
      <c r="F221" s="3">
        <v>0.34338265001805701</v>
      </c>
    </row>
    <row r="222" spans="1:6" x14ac:dyDescent="0.3">
      <c r="A222" s="12"/>
      <c r="B222" s="1" t="s">
        <v>66</v>
      </c>
      <c r="C222" s="3">
        <v>0.59161664311696205</v>
      </c>
      <c r="D222" s="3">
        <v>0.74341600494747495</v>
      </c>
      <c r="E222" s="3">
        <v>0.72869664724183203</v>
      </c>
      <c r="F222" s="3">
        <v>0.75874227128854699</v>
      </c>
    </row>
    <row r="223" spans="1:6" x14ac:dyDescent="0.3">
      <c r="A223" s="12"/>
      <c r="B223" s="1" t="s">
        <v>71</v>
      </c>
      <c r="C223" s="3">
        <v>0.53303140573942398</v>
      </c>
      <c r="D223" s="3">
        <v>0.69539528511136794</v>
      </c>
      <c r="E223" s="3">
        <v>0.70500577218476301</v>
      </c>
      <c r="F223" s="3">
        <v>0.68604329051019397</v>
      </c>
    </row>
    <row r="224" spans="1:6" x14ac:dyDescent="0.3">
      <c r="A224" s="12"/>
      <c r="B224" s="1" t="s">
        <v>76</v>
      </c>
      <c r="C224" s="3">
        <v>0.46841936079366198</v>
      </c>
      <c r="D224" s="3">
        <v>0.637991262306004</v>
      </c>
      <c r="E224" s="3">
        <v>0.69172431330929496</v>
      </c>
      <c r="F224" s="3">
        <v>0.59200443773588396</v>
      </c>
    </row>
    <row r="225" spans="1:6" x14ac:dyDescent="0.3">
      <c r="A225" s="12"/>
      <c r="B225" s="1" t="s">
        <v>81</v>
      </c>
      <c r="C225" s="3">
        <v>0.213089942760051</v>
      </c>
      <c r="D225" s="3">
        <v>0.35131763152734402</v>
      </c>
      <c r="E225" s="3">
        <v>0.52609396979164602</v>
      </c>
      <c r="F225" s="3">
        <v>0.26370939859135001</v>
      </c>
    </row>
    <row r="226" spans="1:6" x14ac:dyDescent="0.3">
      <c r="A226" s="12"/>
      <c r="B226" s="1" t="s">
        <v>86</v>
      </c>
      <c r="C226" s="3">
        <v>0.49589269294146998</v>
      </c>
      <c r="D226" s="3">
        <v>0.64324620707123703</v>
      </c>
      <c r="E226" s="3">
        <v>0.66698987758202499</v>
      </c>
      <c r="F226" s="3">
        <v>0.62982708073093296</v>
      </c>
    </row>
    <row r="227" spans="1:6" x14ac:dyDescent="0.3">
      <c r="A227" s="16" t="s">
        <v>477</v>
      </c>
      <c r="B227" s="1" t="s">
        <v>16</v>
      </c>
      <c r="C227" s="3">
        <v>0.39990124918688702</v>
      </c>
      <c r="D227" s="3">
        <v>0.57132779818457102</v>
      </c>
      <c r="E227" s="3">
        <v>0.62307236631621599</v>
      </c>
      <c r="F227" s="3">
        <v>0.52751871653656801</v>
      </c>
    </row>
    <row r="228" spans="1:6" x14ac:dyDescent="0.3">
      <c r="A228" s="17"/>
      <c r="B228" s="1" t="s">
        <v>21</v>
      </c>
      <c r="C228" s="3">
        <v>0.39874914265781602</v>
      </c>
      <c r="D228" s="3">
        <v>0.57015104495454805</v>
      </c>
      <c r="E228" s="3">
        <v>0.573663410221668</v>
      </c>
      <c r="F228" s="3">
        <v>0.56668142822363798</v>
      </c>
    </row>
    <row r="229" spans="1:6" x14ac:dyDescent="0.3">
      <c r="A229" s="17"/>
      <c r="B229" s="1" t="s">
        <v>26</v>
      </c>
      <c r="C229" s="3">
        <v>0.65417267030638104</v>
      </c>
      <c r="D229" s="3">
        <v>0.790936378105215</v>
      </c>
      <c r="E229" s="3">
        <v>0.75202564781298498</v>
      </c>
      <c r="F229" s="3">
        <v>0.83409339435970298</v>
      </c>
    </row>
    <row r="230" spans="1:6" x14ac:dyDescent="0.3">
      <c r="A230" s="17"/>
      <c r="B230" s="1" t="s">
        <v>31</v>
      </c>
      <c r="C230" s="3">
        <v>0.43778396618585802</v>
      </c>
      <c r="D230" s="3">
        <v>0.60897043851060295</v>
      </c>
      <c r="E230" s="3">
        <v>0.63982553748857895</v>
      </c>
      <c r="F230" s="3">
        <v>0.58095435733387002</v>
      </c>
    </row>
    <row r="231" spans="1:6" x14ac:dyDescent="0.3">
      <c r="A231" s="17"/>
      <c r="B231" s="1" t="s">
        <v>36</v>
      </c>
      <c r="C231" s="3">
        <v>0.81469690726266697</v>
      </c>
      <c r="D231" s="3">
        <v>0.89788758001640601</v>
      </c>
      <c r="E231" s="3">
        <v>0.864585697420028</v>
      </c>
      <c r="F231" s="3">
        <v>0.93385766176374796</v>
      </c>
    </row>
    <row r="232" spans="1:6" x14ac:dyDescent="0.3">
      <c r="A232" s="17"/>
      <c r="B232" s="1" t="s">
        <v>41</v>
      </c>
      <c r="C232" s="3">
        <v>0.52583437789277299</v>
      </c>
      <c r="D232" s="3">
        <v>0.689241749316157</v>
      </c>
      <c r="E232" s="3">
        <v>0.67255067524385004</v>
      </c>
      <c r="F232" s="3">
        <v>0.706782370923287</v>
      </c>
    </row>
    <row r="233" spans="1:6" x14ac:dyDescent="0.3">
      <c r="A233" s="17"/>
      <c r="B233" s="1" t="s">
        <v>46</v>
      </c>
      <c r="C233" s="3">
        <v>0.58346259095108799</v>
      </c>
      <c r="D233" s="3">
        <v>0.73694521649625799</v>
      </c>
      <c r="E233" s="3">
        <v>0.77121718727271504</v>
      </c>
      <c r="F233" s="3">
        <v>0.705589654883508</v>
      </c>
    </row>
    <row r="234" spans="1:6" x14ac:dyDescent="0.3">
      <c r="A234" s="17"/>
      <c r="B234" s="1" t="s">
        <v>51</v>
      </c>
      <c r="C234" s="3">
        <v>0.66688672605571897</v>
      </c>
      <c r="D234" s="3">
        <v>0.80015842184278896</v>
      </c>
      <c r="E234" s="3">
        <v>0.71721096578076604</v>
      </c>
      <c r="F234" s="3">
        <v>0.90480121544742498</v>
      </c>
    </row>
    <row r="235" spans="1:6" x14ac:dyDescent="0.3">
      <c r="A235" s="17"/>
      <c r="B235" s="1" t="s">
        <v>56</v>
      </c>
      <c r="C235" s="3">
        <v>0.84387305605922303</v>
      </c>
      <c r="D235" s="3">
        <v>0.91532663085036003</v>
      </c>
      <c r="E235" s="3">
        <v>0.87795273850594602</v>
      </c>
      <c r="F235" s="3">
        <v>0.95602396592772698</v>
      </c>
    </row>
    <row r="236" spans="1:6" x14ac:dyDescent="0.3">
      <c r="A236" s="17"/>
      <c r="B236" s="1" t="s">
        <v>61</v>
      </c>
      <c r="C236" s="3">
        <v>0.22321324527498501</v>
      </c>
      <c r="D236" s="3">
        <v>0.36496211292219299</v>
      </c>
      <c r="E236" s="3">
        <v>0.32330521811705998</v>
      </c>
      <c r="F236" s="3">
        <v>0.41894144490263302</v>
      </c>
    </row>
    <row r="237" spans="1:6" x14ac:dyDescent="0.3">
      <c r="A237" s="17"/>
      <c r="B237" s="1" t="s">
        <v>66</v>
      </c>
      <c r="C237" s="3">
        <v>0.57711225773844799</v>
      </c>
      <c r="D237" s="3">
        <v>0.73185945376648998</v>
      </c>
      <c r="E237" s="3">
        <v>0.74378023692685902</v>
      </c>
      <c r="F237" s="3">
        <v>0.72031475868161998</v>
      </c>
    </row>
    <row r="238" spans="1:6" x14ac:dyDescent="0.3">
      <c r="A238" s="17"/>
      <c r="B238" s="1" t="s">
        <v>71</v>
      </c>
      <c r="C238" s="3">
        <v>0.52245565758074997</v>
      </c>
      <c r="D238" s="3">
        <v>0.68633283994747696</v>
      </c>
      <c r="E238" s="3">
        <v>0.72304801761047399</v>
      </c>
      <c r="F238" s="3">
        <v>0.65316614759989899</v>
      </c>
    </row>
    <row r="239" spans="1:6" x14ac:dyDescent="0.3">
      <c r="A239" s="17"/>
      <c r="B239" s="1" t="s">
        <v>76</v>
      </c>
      <c r="C239" s="3">
        <v>0.53510907543825703</v>
      </c>
      <c r="D239" s="3">
        <v>0.69716098223898404</v>
      </c>
      <c r="E239" s="3">
        <v>0.74347558760495103</v>
      </c>
      <c r="F239" s="3">
        <v>0.65627830724969904</v>
      </c>
    </row>
    <row r="240" spans="1:6" x14ac:dyDescent="0.3">
      <c r="A240" s="17"/>
      <c r="B240" s="1" t="s">
        <v>81</v>
      </c>
      <c r="C240" s="3">
        <v>8.6830716105579103E-2</v>
      </c>
      <c r="D240" s="3">
        <v>0.15978701157199099</v>
      </c>
      <c r="E240" s="3">
        <v>0.427955531708199</v>
      </c>
      <c r="F240" s="3">
        <v>9.8232111526905405E-2</v>
      </c>
    </row>
    <row r="241" spans="1:6" x14ac:dyDescent="0.3">
      <c r="A241" s="18"/>
      <c r="B241" s="1" t="s">
        <v>86</v>
      </c>
      <c r="C241" s="3">
        <v>0.51929154562117297</v>
      </c>
      <c r="D241" s="3">
        <v>0.65864626133743198</v>
      </c>
      <c r="E241" s="3">
        <v>0.67526205843073595</v>
      </c>
      <c r="F241" s="3">
        <v>0.661659681097159</v>
      </c>
    </row>
    <row r="242" spans="1:6" x14ac:dyDescent="0.3">
      <c r="A242" s="16" t="s">
        <v>478</v>
      </c>
      <c r="B242" s="1" t="s">
        <v>16</v>
      </c>
      <c r="C242" s="3">
        <v>0.36255230957760398</v>
      </c>
      <c r="D242" s="3">
        <v>0.53216644532347801</v>
      </c>
      <c r="E242" s="3">
        <v>0.51787954091551702</v>
      </c>
      <c r="F242" s="3">
        <v>0.54726398762706996</v>
      </c>
    </row>
    <row r="243" spans="1:6" x14ac:dyDescent="0.3">
      <c r="A243" s="17"/>
      <c r="B243" s="1" t="s">
        <v>21</v>
      </c>
      <c r="C243" s="3">
        <v>0.40271574934524201</v>
      </c>
      <c r="D243" s="3">
        <v>0.57419437905822501</v>
      </c>
      <c r="E243" s="3">
        <v>0.58712164723161497</v>
      </c>
      <c r="F243" s="3">
        <v>0.56182411301628099</v>
      </c>
    </row>
    <row r="244" spans="1:6" x14ac:dyDescent="0.3">
      <c r="A244" s="17"/>
      <c r="B244" s="1" t="s">
        <v>26</v>
      </c>
      <c r="C244" s="3">
        <v>0.63195323533705905</v>
      </c>
      <c r="D244" s="3">
        <v>0.77447468671678799</v>
      </c>
      <c r="E244" s="3">
        <v>0.71850584274248197</v>
      </c>
      <c r="F244" s="3">
        <v>0.83989964107177395</v>
      </c>
    </row>
    <row r="245" spans="1:6" x14ac:dyDescent="0.3">
      <c r="A245" s="17"/>
      <c r="B245" s="1" t="s">
        <v>31</v>
      </c>
      <c r="C245" s="3">
        <v>0.39598914908645</v>
      </c>
      <c r="D245" s="3">
        <v>0.56732410756285601</v>
      </c>
      <c r="E245" s="3">
        <v>0.645906262821896</v>
      </c>
      <c r="F245" s="3">
        <v>0.50578889182980802</v>
      </c>
    </row>
    <row r="246" spans="1:6" x14ac:dyDescent="0.3">
      <c r="A246" s="17"/>
      <c r="B246" s="1" t="s">
        <v>36</v>
      </c>
      <c r="C246" s="3">
        <v>0.74116206960944597</v>
      </c>
      <c r="D246" s="3">
        <v>0.85134185099230097</v>
      </c>
      <c r="E246" s="3">
        <v>0.81513163194898497</v>
      </c>
      <c r="F246" s="3">
        <v>0.89091872536550898</v>
      </c>
    </row>
    <row r="247" spans="1:6" x14ac:dyDescent="0.3">
      <c r="A247" s="17"/>
      <c r="B247" s="1" t="s">
        <v>41</v>
      </c>
      <c r="C247" s="3">
        <v>0.59150651117528297</v>
      </c>
      <c r="D247" s="3">
        <v>0.743329049578908</v>
      </c>
      <c r="E247" s="3">
        <v>0.72862164773591998</v>
      </c>
      <c r="F247" s="3">
        <v>0.75864242803662396</v>
      </c>
    </row>
    <row r="248" spans="1:6" x14ac:dyDescent="0.3">
      <c r="A248" s="17"/>
      <c r="B248" s="1" t="s">
        <v>46</v>
      </c>
      <c r="C248" s="3">
        <v>0.61326735943937105</v>
      </c>
      <c r="D248" s="3">
        <v>0.76027988274986003</v>
      </c>
      <c r="E248" s="3">
        <v>0.746346085953696</v>
      </c>
      <c r="F248" s="3">
        <v>0.77474384731089696</v>
      </c>
    </row>
    <row r="249" spans="1:6" x14ac:dyDescent="0.3">
      <c r="A249" s="17"/>
      <c r="B249" s="1" t="s">
        <v>51</v>
      </c>
      <c r="C249" s="3">
        <v>0.57011076963953999</v>
      </c>
      <c r="D249" s="3">
        <v>0.72620452093379795</v>
      </c>
      <c r="E249" s="3">
        <v>0.61187764838984504</v>
      </c>
      <c r="F249" s="3">
        <v>0.89307129260042895</v>
      </c>
    </row>
    <row r="250" spans="1:6" x14ac:dyDescent="0.3">
      <c r="A250" s="17"/>
      <c r="B250" s="1" t="s">
        <v>56</v>
      </c>
      <c r="C250" s="3">
        <v>0.733852710502785</v>
      </c>
      <c r="D250" s="3">
        <v>0.84649948182735901</v>
      </c>
      <c r="E250" s="3">
        <v>0.76022107602345801</v>
      </c>
      <c r="F250" s="3">
        <v>0.95486867854548196</v>
      </c>
    </row>
    <row r="251" spans="1:6" x14ac:dyDescent="0.3">
      <c r="A251" s="17"/>
      <c r="B251" s="1" t="s">
        <v>61</v>
      </c>
      <c r="C251" s="3">
        <v>0.210202598507467</v>
      </c>
      <c r="D251" s="3">
        <v>0.34738414669859102</v>
      </c>
      <c r="E251" s="3">
        <v>0.27937975291876099</v>
      </c>
      <c r="F251" s="3">
        <v>0.45914574654221002</v>
      </c>
    </row>
    <row r="252" spans="1:6" x14ac:dyDescent="0.3">
      <c r="A252" s="17"/>
      <c r="B252" s="1" t="s">
        <v>66</v>
      </c>
      <c r="C252" s="3">
        <v>0.60095605371230099</v>
      </c>
      <c r="D252" s="3">
        <v>0.75074647092130098</v>
      </c>
      <c r="E252" s="3">
        <v>0.72183359107577805</v>
      </c>
      <c r="F252" s="3">
        <v>0.78207219427808605</v>
      </c>
    </row>
    <row r="253" spans="1:6" x14ac:dyDescent="0.3">
      <c r="A253" s="17"/>
      <c r="B253" s="1" t="s">
        <v>71</v>
      </c>
      <c r="C253" s="3">
        <v>0.33854072065187202</v>
      </c>
      <c r="D253" s="3">
        <v>0.50583551987421305</v>
      </c>
      <c r="E253" s="3">
        <v>0.601006556096502</v>
      </c>
      <c r="F253" s="3">
        <v>0.436685218118401</v>
      </c>
    </row>
    <row r="254" spans="1:6" x14ac:dyDescent="0.3">
      <c r="A254" s="17"/>
      <c r="B254" s="1" t="s">
        <v>76</v>
      </c>
      <c r="C254" s="3">
        <v>0.55514598901455803</v>
      </c>
      <c r="D254" s="3">
        <v>0.71394710584867305</v>
      </c>
      <c r="E254" s="3">
        <v>0.71485019520830895</v>
      </c>
      <c r="F254" s="3">
        <v>0.71304629540387199</v>
      </c>
    </row>
    <row r="255" spans="1:6" x14ac:dyDescent="0.3">
      <c r="A255" s="17"/>
      <c r="B255" s="1" t="s">
        <v>81</v>
      </c>
      <c r="C255" s="3">
        <v>0.1044304974677</v>
      </c>
      <c r="D255" s="3">
        <v>0.18911194087295499</v>
      </c>
      <c r="E255" s="3">
        <v>0.207422497598446</v>
      </c>
      <c r="F255" s="3">
        <v>0.17377194145981001</v>
      </c>
    </row>
    <row r="256" spans="1:6" x14ac:dyDescent="0.3">
      <c r="A256" s="18"/>
      <c r="B256" s="1" t="s">
        <v>86</v>
      </c>
      <c r="C256" s="3">
        <v>0.48945612307619102</v>
      </c>
      <c r="D256" s="3">
        <v>0.63448854206852201</v>
      </c>
      <c r="E256" s="3">
        <v>0.61829314119008605</v>
      </c>
      <c r="F256" s="3">
        <v>0.66369592865758897</v>
      </c>
    </row>
    <row r="257" spans="1:6" x14ac:dyDescent="0.3">
      <c r="A257" s="13" t="s">
        <v>494</v>
      </c>
      <c r="B257" s="1" t="s">
        <v>16</v>
      </c>
      <c r="C257" s="3">
        <v>0.37988260144632502</v>
      </c>
      <c r="D257" s="3">
        <v>0.55060133528482902</v>
      </c>
      <c r="E257" s="3">
        <v>0.51088548280080204</v>
      </c>
      <c r="F257" s="3">
        <v>0.59701264875375504</v>
      </c>
    </row>
    <row r="258" spans="1:6" x14ac:dyDescent="0.3">
      <c r="A258" s="14"/>
      <c r="B258" s="1" t="s">
        <v>21</v>
      </c>
      <c r="C258" s="3">
        <v>0.27044703059325798</v>
      </c>
      <c r="D258" s="3">
        <v>0.42575097439043702</v>
      </c>
      <c r="E258" s="3">
        <v>0.449468612557128</v>
      </c>
      <c r="F258" s="3">
        <v>0.40441094698206798</v>
      </c>
    </row>
    <row r="259" spans="1:6" x14ac:dyDescent="0.3">
      <c r="A259" s="14"/>
      <c r="B259" s="1" t="s">
        <v>26</v>
      </c>
      <c r="C259" s="3">
        <v>0.57366966146408105</v>
      </c>
      <c r="D259" s="3">
        <v>0.72908524007555797</v>
      </c>
      <c r="E259" s="3">
        <v>0.70863900046573702</v>
      </c>
      <c r="F259" s="3">
        <v>0.75074639718512004</v>
      </c>
    </row>
    <row r="260" spans="1:6" x14ac:dyDescent="0.3">
      <c r="A260" s="14"/>
      <c r="B260" s="1" t="s">
        <v>31</v>
      </c>
      <c r="C260" s="3">
        <v>0.40712980904665802</v>
      </c>
      <c r="D260" s="3">
        <v>0.57866702336793197</v>
      </c>
      <c r="E260" s="3">
        <v>0.59754570506507598</v>
      </c>
      <c r="F260" s="3">
        <v>0.56094470287347298</v>
      </c>
    </row>
    <row r="261" spans="1:6" x14ac:dyDescent="0.3">
      <c r="A261" s="14"/>
      <c r="B261" s="1" t="s">
        <v>36</v>
      </c>
      <c r="C261" s="3">
        <v>0.72692201948664203</v>
      </c>
      <c r="D261" s="3">
        <v>0.841870114902736</v>
      </c>
      <c r="E261" s="3">
        <v>0.76710744013310805</v>
      </c>
      <c r="F261" s="3">
        <v>0.93277924680856406</v>
      </c>
    </row>
    <row r="262" spans="1:6" x14ac:dyDescent="0.3">
      <c r="A262" s="14"/>
      <c r="B262" s="1" t="s">
        <v>41</v>
      </c>
      <c r="C262" s="3">
        <v>0.57814913851633198</v>
      </c>
      <c r="D262" s="3">
        <v>0.73269265167152497</v>
      </c>
      <c r="E262" s="3">
        <v>0.73814761020637798</v>
      </c>
      <c r="F262" s="3">
        <v>0.72731772667572403</v>
      </c>
    </row>
    <row r="263" spans="1:6" x14ac:dyDescent="0.3">
      <c r="A263" s="14"/>
      <c r="B263" s="1" t="s">
        <v>46</v>
      </c>
      <c r="C263" s="3">
        <v>0.55346426789902203</v>
      </c>
      <c r="D263" s="3">
        <v>0.71255487407837603</v>
      </c>
      <c r="E263" s="3">
        <v>0.701867038052714</v>
      </c>
      <c r="F263" s="3">
        <v>0.72357324620400798</v>
      </c>
    </row>
    <row r="264" spans="1:6" x14ac:dyDescent="0.3">
      <c r="A264" s="14"/>
      <c r="B264" s="1" t="s">
        <v>51</v>
      </c>
      <c r="C264" s="3">
        <v>0.65485403354901806</v>
      </c>
      <c r="D264" s="3">
        <v>0.79143419331626597</v>
      </c>
      <c r="E264" s="3">
        <v>0.734753217008426</v>
      </c>
      <c r="F264" s="3">
        <v>0.857591248668087</v>
      </c>
    </row>
    <row r="265" spans="1:6" x14ac:dyDescent="0.3">
      <c r="A265" s="14"/>
      <c r="B265" s="1" t="s">
        <v>56</v>
      </c>
      <c r="C265" s="3">
        <v>0.82123595810113803</v>
      </c>
      <c r="D265" s="3">
        <v>0.90184465604048103</v>
      </c>
      <c r="E265" s="3">
        <v>0.83459367528091499</v>
      </c>
      <c r="F265" s="3">
        <v>0.98088357573616503</v>
      </c>
    </row>
    <row r="266" spans="1:6" x14ac:dyDescent="0.3">
      <c r="A266" s="14"/>
      <c r="B266" s="1" t="s">
        <v>61</v>
      </c>
      <c r="C266" s="3">
        <v>0.22614494392346901</v>
      </c>
      <c r="D266" s="3">
        <v>0.36887146995825998</v>
      </c>
      <c r="E266" s="3">
        <v>0.32535303744483901</v>
      </c>
      <c r="F266" s="3">
        <v>0.42582937324815001</v>
      </c>
    </row>
    <row r="267" spans="1:6" x14ac:dyDescent="0.3">
      <c r="A267" s="14"/>
      <c r="B267" s="1" t="s">
        <v>66</v>
      </c>
      <c r="C267" s="3">
        <v>0.60069180883276097</v>
      </c>
      <c r="D267" s="3">
        <v>0.750540242060452</v>
      </c>
      <c r="E267" s="3">
        <v>0.68675682580011799</v>
      </c>
      <c r="F267" s="3">
        <v>0.827384646566936</v>
      </c>
    </row>
    <row r="268" spans="1:6" x14ac:dyDescent="0.3">
      <c r="A268" s="14"/>
      <c r="B268" s="1" t="s">
        <v>71</v>
      </c>
      <c r="C268" s="3">
        <v>0.50202034559919095</v>
      </c>
      <c r="D268" s="3">
        <v>0.66846011383277704</v>
      </c>
      <c r="E268" s="3">
        <v>0.60935273175618399</v>
      </c>
      <c r="F268" s="3">
        <v>0.74026613159241705</v>
      </c>
    </row>
    <row r="269" spans="1:6" x14ac:dyDescent="0.3">
      <c r="A269" s="14"/>
      <c r="B269" s="1" t="s">
        <v>76</v>
      </c>
      <c r="C269" s="3">
        <v>0.464995548135682</v>
      </c>
      <c r="D269" s="3">
        <v>0.63480813812359205</v>
      </c>
      <c r="E269" s="3">
        <v>0.64314684222581997</v>
      </c>
      <c r="F269" s="3">
        <v>0.62668289688786605</v>
      </c>
    </row>
    <row r="270" spans="1:6" x14ac:dyDescent="0.3">
      <c r="A270" s="14"/>
      <c r="B270" s="1" t="s">
        <v>81</v>
      </c>
      <c r="C270" s="3">
        <v>0.28217292368548602</v>
      </c>
      <c r="D270" s="3">
        <v>0.44014799949823702</v>
      </c>
      <c r="E270" s="3">
        <v>0.51889885738135999</v>
      </c>
      <c r="F270" s="3">
        <v>0.38215076186758101</v>
      </c>
    </row>
    <row r="271" spans="1:6" x14ac:dyDescent="0.3">
      <c r="A271" s="15"/>
      <c r="B271" s="1" t="s">
        <v>86</v>
      </c>
      <c r="C271" s="3">
        <v>0.50298429216278995</v>
      </c>
      <c r="D271" s="3">
        <v>0.651952073328676</v>
      </c>
      <c r="E271" s="3">
        <v>0.63046543401275801</v>
      </c>
      <c r="F271" s="3">
        <v>0.68125525357499395</v>
      </c>
    </row>
  </sheetData>
  <mergeCells count="21">
    <mergeCell ref="A152:A166"/>
    <mergeCell ref="A167:A181"/>
    <mergeCell ref="A257:A271"/>
    <mergeCell ref="A227:A241"/>
    <mergeCell ref="A242:A256"/>
    <mergeCell ref="A182:A196"/>
    <mergeCell ref="A197:A211"/>
    <mergeCell ref="A212:A226"/>
    <mergeCell ref="A122:A136"/>
    <mergeCell ref="A137:A151"/>
    <mergeCell ref="P1:S1"/>
    <mergeCell ref="A47:A61"/>
    <mergeCell ref="A92:A106"/>
    <mergeCell ref="A107:A121"/>
    <mergeCell ref="A62:A76"/>
    <mergeCell ref="A77:A91"/>
    <mergeCell ref="A2:A16"/>
    <mergeCell ref="A17:A31"/>
    <mergeCell ref="A32:A46"/>
    <mergeCell ref="H1:M1"/>
    <mergeCell ref="H11:M11"/>
  </mergeCells>
  <pageMargins left="0.7" right="0.7" top="0.75" bottom="0.75" header="0.3" footer="0.3"/>
  <ignoredErrors>
    <ignoredError sqref="V4:V6 W3:Y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F43C-14BE-4E6F-898B-78BA9D8E32C1}">
  <dimension ref="A1:M38"/>
  <sheetViews>
    <sheetView tabSelected="1" topLeftCell="A19" workbookViewId="0">
      <selection activeCell="Q31" sqref="Q31"/>
    </sheetView>
  </sheetViews>
  <sheetFormatPr defaultRowHeight="14.4" x14ac:dyDescent="0.3"/>
  <cols>
    <col min="1" max="1" width="20.6640625" customWidth="1"/>
    <col min="2" max="13" width="9.44140625" bestFit="1" customWidth="1"/>
  </cols>
  <sheetData>
    <row r="1" spans="1:13" x14ac:dyDescent="0.3">
      <c r="A1" s="1" t="s">
        <v>496</v>
      </c>
      <c r="B1" s="12" t="s">
        <v>497</v>
      </c>
      <c r="C1" s="12"/>
      <c r="D1" s="12" t="s">
        <v>299</v>
      </c>
      <c r="E1" s="12"/>
      <c r="F1" s="12" t="s">
        <v>501</v>
      </c>
      <c r="G1" s="12"/>
      <c r="H1" s="12" t="s">
        <v>397</v>
      </c>
      <c r="I1" s="12"/>
      <c r="J1" s="12" t="s">
        <v>502</v>
      </c>
      <c r="K1" s="12"/>
      <c r="L1" s="12" t="s">
        <v>503</v>
      </c>
      <c r="M1" s="12"/>
    </row>
    <row r="2" spans="1:13" x14ac:dyDescent="0.3">
      <c r="A2" s="1" t="s">
        <v>495</v>
      </c>
      <c r="B2" s="2" t="s">
        <v>498</v>
      </c>
      <c r="C2" s="2" t="s">
        <v>499</v>
      </c>
      <c r="D2" s="2" t="s">
        <v>498</v>
      </c>
      <c r="E2" s="2" t="s">
        <v>499</v>
      </c>
      <c r="F2" s="2" t="s">
        <v>498</v>
      </c>
      <c r="G2" s="2" t="s">
        <v>499</v>
      </c>
      <c r="H2" s="2" t="s">
        <v>498</v>
      </c>
      <c r="I2" s="2" t="s">
        <v>499</v>
      </c>
      <c r="J2" s="2" t="s">
        <v>498</v>
      </c>
      <c r="K2" s="2" t="s">
        <v>499</v>
      </c>
      <c r="L2" s="2" t="s">
        <v>498</v>
      </c>
      <c r="M2" s="2" t="s">
        <v>499</v>
      </c>
    </row>
    <row r="3" spans="1:13" x14ac:dyDescent="0.3">
      <c r="A3" s="1" t="s">
        <v>16</v>
      </c>
      <c r="B3" s="7">
        <f>AVERAGE('Лист1 (2)'!D2, 'Лист1 (2)'!D17,'Лист1 (2)'!D32)</f>
        <v>0.52616051538855724</v>
      </c>
      <c r="C3" s="7">
        <f>AVERAGE('Лист1 (2)'!F2, 'Лист1 (2)'!F17,'Лист1 (2)'!F32)</f>
        <v>0.48063527767591435</v>
      </c>
      <c r="D3" s="7">
        <f>AVERAGE('Лист1 (2)'!C47, 'Лист1 (2)'!D62,'Лист1 (2)'!D77)</f>
        <v>0.47752317516364462</v>
      </c>
      <c r="E3" s="7">
        <f>AVERAGE('Лист1 (2)'!F47, 'Лист1 (2)'!F62,'Лист1 (2)'!F77)</f>
        <v>0.53095853112224067</v>
      </c>
      <c r="F3" s="7">
        <f>AVERAGE('Лист1 (2)'!C92, 'Лист1 (2)'!D107,'Лист1 (2)'!D122)</f>
        <v>0.28748722488069134</v>
      </c>
      <c r="G3" s="7">
        <f>AVERAGE('Лист1 (2)'!F92, 'Лист1 (2)'!F107,'Лист1 (2)'!F122)</f>
        <v>0.35213620634638404</v>
      </c>
      <c r="H3" s="7">
        <f>AVERAGE('Лист1 (2)'!C137, 'Лист1 (2)'!D152,'Лист1 (2)'!D167)</f>
        <v>0.31466765895219068</v>
      </c>
      <c r="I3" s="7">
        <f>AVERAGE('Лист1 (2)'!F137, 'Лист1 (2)'!F152,'Лист1 (2)'!F167)</f>
        <v>0.42696975718795133</v>
      </c>
      <c r="J3" s="7">
        <f>AVERAGE('Лист1 (2)'!C182, 'Лист1 (2)'!D197,'Лист1 (2)'!D212)</f>
        <v>0.49174101538163395</v>
      </c>
      <c r="K3" s="7">
        <f>AVERAGE('Лист1 (2)'!F182, 'Лист1 (2)'!F197,'Лист1 (2)'!F212)</f>
        <v>0.51531382310140394</v>
      </c>
      <c r="L3" s="7">
        <f>AVERAGE('Лист1 (2)'!C227, 'Лист1 (2)'!D242,'Лист1 (2)'!D257)</f>
        <v>0.49422300993173129</v>
      </c>
      <c r="M3" s="7">
        <f>AVERAGE('Лист1 (2)'!F227, 'Лист1 (2)'!F242,'Лист1 (2)'!F257)</f>
        <v>0.557265117639131</v>
      </c>
    </row>
    <row r="4" spans="1:13" x14ac:dyDescent="0.3">
      <c r="A4" s="1" t="s">
        <v>21</v>
      </c>
      <c r="B4" s="7">
        <f>AVERAGE('Лист1 (2)'!D3, 'Лист1 (2)'!D18,'Лист1 (2)'!D33)</f>
        <v>0.53054120016664763</v>
      </c>
      <c r="C4" s="7">
        <f>AVERAGE('Лист1 (2)'!F3, 'Лист1 (2)'!F18,'Лист1 (2)'!F33)</f>
        <v>0.528577972529373</v>
      </c>
      <c r="D4" s="7">
        <f>AVERAGE('Лист1 (2)'!C48, 'Лист1 (2)'!D63,'Лист1 (2)'!D78)</f>
        <v>0.47226520495170066</v>
      </c>
      <c r="E4" s="7">
        <f>AVERAGE('Лист1 (2)'!F48, 'Лист1 (2)'!F63,'Лист1 (2)'!F78)</f>
        <v>0.49232876489622707</v>
      </c>
      <c r="F4" s="7">
        <f>AVERAGE('Лист1 (2)'!C93, 'Лист1 (2)'!D108,'Лист1 (2)'!D123)</f>
        <v>0.45467161667861705</v>
      </c>
      <c r="G4" s="7">
        <f>AVERAGE('Лист1 (2)'!F93, 'Лист1 (2)'!F108,'Лист1 (2)'!F123)</f>
        <v>0.471822396843039</v>
      </c>
      <c r="H4" s="7">
        <f>AVERAGE('Лист1 (2)'!C138, 'Лист1 (2)'!D153,'Лист1 (2)'!D168)</f>
        <v>0.48079880465802166</v>
      </c>
      <c r="I4" s="7">
        <f>AVERAGE('Лист1 (2)'!F138, 'Лист1 (2)'!F153,'Лист1 (2)'!F168)</f>
        <v>0.49841922811887196</v>
      </c>
      <c r="J4" s="7">
        <f>AVERAGE('Лист1 (2)'!C183, 'Лист1 (2)'!D198,'Лист1 (2)'!D213)</f>
        <v>0.45628726852389168</v>
      </c>
      <c r="K4" s="7">
        <f>AVERAGE('Лист1 (2)'!F183, 'Лист1 (2)'!F198,'Лист1 (2)'!F213)</f>
        <v>0.48722997013069141</v>
      </c>
      <c r="L4" s="7">
        <f>AVERAGE('Лист1 (2)'!C228, 'Лист1 (2)'!D243,'Лист1 (2)'!D258)</f>
        <v>0.46623149870215935</v>
      </c>
      <c r="M4" s="7">
        <f>AVERAGE('Лист1 (2)'!F228, 'Лист1 (2)'!F243,'Лист1 (2)'!F258)</f>
        <v>0.51097216274066237</v>
      </c>
    </row>
    <row r="5" spans="1:13" x14ac:dyDescent="0.3">
      <c r="A5" s="1" t="s">
        <v>26</v>
      </c>
      <c r="B5" s="7">
        <f>AVERAGE('Лист1 (2)'!D4, 'Лист1 (2)'!D19,'Лист1 (2)'!D34)</f>
        <v>0.76015720717348667</v>
      </c>
      <c r="C5" s="7">
        <f>AVERAGE('Лист1 (2)'!F4, 'Лист1 (2)'!F19,'Лист1 (2)'!F34)</f>
        <v>0.82946330607520491</v>
      </c>
      <c r="D5" s="7">
        <f>AVERAGE('Лист1 (2)'!C49, 'Лист1 (2)'!D64,'Лист1 (2)'!D79)</f>
        <v>0.72494395480417018</v>
      </c>
      <c r="E5" s="7">
        <f>AVERAGE('Лист1 (2)'!F49, 'Лист1 (2)'!F64,'Лист1 (2)'!F79)</f>
        <v>0.81882107626589529</v>
      </c>
      <c r="F5" s="7">
        <f>AVERAGE('Лист1 (2)'!C94, 'Лист1 (2)'!D109,'Лист1 (2)'!D124)</f>
        <v>0.70281988327377565</v>
      </c>
      <c r="G5" s="7">
        <f>AVERAGE('Лист1 (2)'!F94, 'Лист1 (2)'!F109,'Лист1 (2)'!F124)</f>
        <v>0.73376536003009518</v>
      </c>
      <c r="H5" s="7">
        <f>AVERAGE('Лист1 (2)'!C139, 'Лист1 (2)'!D154,'Лист1 (2)'!D169)</f>
        <v>0.7416800121029733</v>
      </c>
      <c r="I5" s="7">
        <f>AVERAGE('Лист1 (2)'!F139, 'Лист1 (2)'!F154,'Лист1 (2)'!F169)</f>
        <v>0.81884348035129273</v>
      </c>
      <c r="J5" s="7">
        <f>AVERAGE('Лист1 (2)'!C184, 'Лист1 (2)'!D199,'Лист1 (2)'!D214)</f>
        <v>0.71926730623827273</v>
      </c>
      <c r="K5" s="7">
        <f>AVERAGE('Лист1 (2)'!F184, 'Лист1 (2)'!F199,'Лист1 (2)'!F214)</f>
        <v>0.78537488953405266</v>
      </c>
      <c r="L5" s="7">
        <f>AVERAGE('Лист1 (2)'!C229, 'Лист1 (2)'!D244,'Лист1 (2)'!D259)</f>
        <v>0.71924419903290904</v>
      </c>
      <c r="M5" s="7">
        <f>AVERAGE('Лист1 (2)'!F229, 'Лист1 (2)'!F244,'Лист1 (2)'!F259)</f>
        <v>0.80824647753886569</v>
      </c>
    </row>
    <row r="6" spans="1:13" x14ac:dyDescent="0.3">
      <c r="A6" s="1" t="s">
        <v>31</v>
      </c>
      <c r="B6" s="7">
        <f>AVERAGE('Лист1 (2)'!D5, 'Лист1 (2)'!D20,'Лист1 (2)'!D35)</f>
        <v>0.54227341267995766</v>
      </c>
      <c r="C6" s="7">
        <f>AVERAGE('Лист1 (2)'!F5, 'Лист1 (2)'!F20,'Лист1 (2)'!F35)</f>
        <v>0.50719203626938936</v>
      </c>
      <c r="D6" s="7">
        <f>AVERAGE('Лист1 (2)'!C50, 'Лист1 (2)'!D65,'Лист1 (2)'!D80)</f>
        <v>0.51386905886591128</v>
      </c>
      <c r="E6" s="7">
        <f>AVERAGE('Лист1 (2)'!F50, 'Лист1 (2)'!F65,'Лист1 (2)'!F80)</f>
        <v>0.55491216566436774</v>
      </c>
      <c r="F6" s="7">
        <f>AVERAGE('Лист1 (2)'!C95, 'Лист1 (2)'!D110,'Лист1 (2)'!D125)</f>
        <v>0.49388152625536669</v>
      </c>
      <c r="G6" s="7">
        <f>AVERAGE('Лист1 (2)'!F95, 'Лист1 (2)'!F110,'Лист1 (2)'!F125)</f>
        <v>0.54046025710773438</v>
      </c>
      <c r="H6" s="7">
        <f>AVERAGE('Лист1 (2)'!C140, 'Лист1 (2)'!D155,'Лист1 (2)'!D170)</f>
        <v>0.51288764032615097</v>
      </c>
      <c r="I6" s="7">
        <f>AVERAGE('Лист1 (2)'!F140, 'Лист1 (2)'!F155,'Лист1 (2)'!F170)</f>
        <v>0.58941181582721536</v>
      </c>
      <c r="J6" s="7">
        <f>AVERAGE('Лист1 (2)'!C185, 'Лист1 (2)'!D200,'Лист1 (2)'!D215)</f>
        <v>0.53224794502465367</v>
      </c>
      <c r="K6" s="7">
        <f>AVERAGE('Лист1 (2)'!F185, 'Лист1 (2)'!F200,'Лист1 (2)'!F215)</f>
        <v>0.54122435396957169</v>
      </c>
      <c r="L6" s="7">
        <f>AVERAGE('Лист1 (2)'!C230, 'Лист1 (2)'!D245,'Лист1 (2)'!D260)</f>
        <v>0.52792503237221533</v>
      </c>
      <c r="M6" s="7">
        <f>AVERAGE('Лист1 (2)'!F230, 'Лист1 (2)'!F245,'Лист1 (2)'!F260)</f>
        <v>0.54922931734571689</v>
      </c>
    </row>
    <row r="7" spans="1:13" x14ac:dyDescent="0.3">
      <c r="A7" s="1" t="s">
        <v>36</v>
      </c>
      <c r="B7" s="7">
        <f>AVERAGE('Лист1 (2)'!D6, 'Лист1 (2)'!D21,'Лист1 (2)'!D36)</f>
        <v>0.85751456103020107</v>
      </c>
      <c r="C7" s="7">
        <f>AVERAGE('Лист1 (2)'!F6, 'Лист1 (2)'!F21,'Лист1 (2)'!F36)</f>
        <v>0.90681166505077238</v>
      </c>
      <c r="D7" s="7">
        <f>AVERAGE('Лист1 (2)'!C51, 'Лист1 (2)'!D66,'Лист1 (2)'!D81)</f>
        <v>0.82307759125818925</v>
      </c>
      <c r="E7" s="7">
        <f>AVERAGE('Лист1 (2)'!F51, 'Лист1 (2)'!F66,'Лист1 (2)'!F81)</f>
        <v>0.91215982897328196</v>
      </c>
      <c r="F7" s="7">
        <f>AVERAGE('Лист1 (2)'!C96, 'Лист1 (2)'!D111,'Лист1 (2)'!D126)</f>
        <v>0.83531392496035162</v>
      </c>
      <c r="G7" s="7">
        <f>AVERAGE('Лист1 (2)'!F96, 'Лист1 (2)'!F111,'Лист1 (2)'!F126)</f>
        <v>0.87605143942118657</v>
      </c>
      <c r="H7" s="7">
        <f>AVERAGE('Лист1 (2)'!C141, 'Лист1 (2)'!D156,'Лист1 (2)'!D171)</f>
        <v>0.84497475585105075</v>
      </c>
      <c r="I7" s="7">
        <f>AVERAGE('Лист1 (2)'!F141, 'Лист1 (2)'!F156,'Лист1 (2)'!F171)</f>
        <v>0.90967002738622771</v>
      </c>
      <c r="J7" s="7">
        <f>AVERAGE('Лист1 (2)'!C186, 'Лист1 (2)'!D201,'Лист1 (2)'!D216)</f>
        <v>0.82784348306858602</v>
      </c>
      <c r="K7" s="7">
        <f>AVERAGE('Лист1 (2)'!F186, 'Лист1 (2)'!F201,'Лист1 (2)'!F216)</f>
        <v>0.89445334471504212</v>
      </c>
      <c r="L7" s="7">
        <f>AVERAGE('Лист1 (2)'!C231, 'Лист1 (2)'!D246,'Лист1 (2)'!D261)</f>
        <v>0.83596962438590128</v>
      </c>
      <c r="M7" s="7">
        <f>AVERAGE('Лист1 (2)'!F231, 'Лист1 (2)'!F246,'Лист1 (2)'!F261)</f>
        <v>0.91918521131260711</v>
      </c>
    </row>
    <row r="8" spans="1:13" x14ac:dyDescent="0.3">
      <c r="A8" s="1" t="s">
        <v>41</v>
      </c>
      <c r="B8" s="7">
        <f>AVERAGE('Лист1 (2)'!D7, 'Лист1 (2)'!D22,'Лист1 (2)'!D37)</f>
        <v>0.70897530409202336</v>
      </c>
      <c r="C8" s="7">
        <f>AVERAGE('Лист1 (2)'!F7, 'Лист1 (2)'!F22,'Лист1 (2)'!F37)</f>
        <v>0.68431791591527269</v>
      </c>
      <c r="D8" s="7">
        <f>AVERAGE('Лист1 (2)'!C52, 'Лист1 (2)'!D67,'Лист1 (2)'!D82)</f>
        <v>0.65297779463048566</v>
      </c>
      <c r="E8" s="7">
        <f>AVERAGE('Лист1 (2)'!F52, 'Лист1 (2)'!F67,'Лист1 (2)'!F82)</f>
        <v>0.68144278818722437</v>
      </c>
      <c r="F8" s="7">
        <f>AVERAGE('Лист1 (2)'!C97, 'Лист1 (2)'!D112,'Лист1 (2)'!D127)</f>
        <v>0.55179410884258129</v>
      </c>
      <c r="G8" s="7">
        <f>AVERAGE('Лист1 (2)'!F97, 'Лист1 (2)'!F112,'Лист1 (2)'!F127)</f>
        <v>0.61576420230170836</v>
      </c>
      <c r="H8" s="7">
        <f>AVERAGE('Лист1 (2)'!C142, 'Лист1 (2)'!D157,'Лист1 (2)'!D172)</f>
        <v>0.55704273561363971</v>
      </c>
      <c r="I8" s="7">
        <f>AVERAGE('Лист1 (2)'!F142, 'Лист1 (2)'!F157,'Лист1 (2)'!F172)</f>
        <v>0.66838560657916446</v>
      </c>
      <c r="J8" s="7">
        <f>AVERAGE('Лист1 (2)'!C187, 'Лист1 (2)'!D202,'Лист1 (2)'!D217)</f>
        <v>0.67524683289082299</v>
      </c>
      <c r="K8" s="7">
        <f>AVERAGE('Лист1 (2)'!F187, 'Лист1 (2)'!F202,'Лист1 (2)'!F217)</f>
        <v>0.7091273468993643</v>
      </c>
      <c r="L8" s="7">
        <f>AVERAGE('Лист1 (2)'!C232, 'Лист1 (2)'!D247,'Лист1 (2)'!D262)</f>
        <v>0.66728535971440195</v>
      </c>
      <c r="M8" s="7">
        <f>AVERAGE('Лист1 (2)'!F232, 'Лист1 (2)'!F247,'Лист1 (2)'!F262)</f>
        <v>0.73091417521187829</v>
      </c>
    </row>
    <row r="9" spans="1:13" x14ac:dyDescent="0.3">
      <c r="A9" s="1" t="s">
        <v>46</v>
      </c>
      <c r="B9" s="7">
        <f>AVERAGE('Лист1 (2)'!D8, 'Лист1 (2)'!D23,'Лист1 (2)'!D38)</f>
        <v>0.71001619624443268</v>
      </c>
      <c r="C9" s="7">
        <f>AVERAGE('Лист1 (2)'!F8, 'Лист1 (2)'!F23,'Лист1 (2)'!F38)</f>
        <v>0.68440189356155967</v>
      </c>
      <c r="D9" s="7">
        <f>AVERAGE('Лист1 (2)'!C53, 'Лист1 (2)'!D68,'Лист1 (2)'!D83)</f>
        <v>0.65363903933521705</v>
      </c>
      <c r="E9" s="7">
        <f>AVERAGE('Лист1 (2)'!F53, 'Лист1 (2)'!F68,'Лист1 (2)'!F83)</f>
        <v>0.69710729191640353</v>
      </c>
      <c r="F9" s="7">
        <f>AVERAGE('Лист1 (2)'!C98, 'Лист1 (2)'!D113,'Лист1 (2)'!D128)</f>
        <v>0.662488512823871</v>
      </c>
      <c r="G9" s="7">
        <f>AVERAGE('Лист1 (2)'!F98, 'Лист1 (2)'!F113,'Лист1 (2)'!F128)</f>
        <v>0.71637216834305972</v>
      </c>
      <c r="H9" s="7">
        <f>AVERAGE('Лист1 (2)'!C143, 'Лист1 (2)'!D158,'Лист1 (2)'!D173)</f>
        <v>0.65098655030269825</v>
      </c>
      <c r="I9" s="7">
        <f>AVERAGE('Лист1 (2)'!F143, 'Лист1 (2)'!F158,'Лист1 (2)'!F173)</f>
        <v>0.71331211716914267</v>
      </c>
      <c r="J9" s="7">
        <f>AVERAGE('Лист1 (2)'!C188, 'Лист1 (2)'!D203,'Лист1 (2)'!D218)</f>
        <v>0.67746203770328262</v>
      </c>
      <c r="K9" s="7">
        <f>AVERAGE('Лист1 (2)'!F188, 'Лист1 (2)'!F203,'Лист1 (2)'!F218)</f>
        <v>0.72306692344506196</v>
      </c>
      <c r="L9" s="7">
        <f>AVERAGE('Лист1 (2)'!C233, 'Лист1 (2)'!D248,'Лист1 (2)'!D263)</f>
        <v>0.68543244925977476</v>
      </c>
      <c r="M9" s="7">
        <f>AVERAGE('Лист1 (2)'!F233, 'Лист1 (2)'!F248,'Лист1 (2)'!F263)</f>
        <v>0.73463558279947094</v>
      </c>
    </row>
    <row r="10" spans="1:13" x14ac:dyDescent="0.3">
      <c r="A10" s="1" t="s">
        <v>51</v>
      </c>
      <c r="B10" s="7">
        <f>AVERAGE('Лист1 (2)'!D9, 'Лист1 (2)'!D24,'Лист1 (2)'!D39)</f>
        <v>0.74610441571808606</v>
      </c>
      <c r="C10" s="7">
        <f>AVERAGE('Лист1 (2)'!F9, 'Лист1 (2)'!F24,'Лист1 (2)'!F39)</f>
        <v>0.81916669288197863</v>
      </c>
      <c r="D10" s="7">
        <f>AVERAGE('Лист1 (2)'!C54, 'Лист1 (2)'!D69,'Лист1 (2)'!D84)</f>
        <v>0.69164121656227173</v>
      </c>
      <c r="E10" s="7">
        <f>AVERAGE('Лист1 (2)'!F54, 'Лист1 (2)'!F69,'Лист1 (2)'!F84)</f>
        <v>0.84363614120187946</v>
      </c>
      <c r="F10" s="7">
        <f>AVERAGE('Лист1 (2)'!C99, 'Лист1 (2)'!D114,'Лист1 (2)'!D129)</f>
        <v>0.65969566097242771</v>
      </c>
      <c r="G10" s="7">
        <f>AVERAGE('Лист1 (2)'!F99, 'Лист1 (2)'!F114,'Лист1 (2)'!F129)</f>
        <v>0.81434932615035771</v>
      </c>
      <c r="H10" s="7">
        <f>AVERAGE('Лист1 (2)'!C144, 'Лист1 (2)'!D159,'Лист1 (2)'!D174)</f>
        <v>0.71422229742971866</v>
      </c>
      <c r="I10" s="7">
        <f>AVERAGE('Лист1 (2)'!F144, 'Лист1 (2)'!F159,'Лист1 (2)'!F174)</f>
        <v>0.85568775750804871</v>
      </c>
      <c r="J10" s="7">
        <f>AVERAGE('Лист1 (2)'!C189, 'Лист1 (2)'!D204,'Лист1 (2)'!D219)</f>
        <v>0.72694549061125302</v>
      </c>
      <c r="K10" s="7">
        <f>AVERAGE('Лист1 (2)'!F189, 'Лист1 (2)'!F204,'Лист1 (2)'!F219)</f>
        <v>0.86368558175174304</v>
      </c>
      <c r="L10" s="7">
        <f>AVERAGE('Лист1 (2)'!C234, 'Лист1 (2)'!D249,'Лист1 (2)'!D264)</f>
        <v>0.72817514676859429</v>
      </c>
      <c r="M10" s="7">
        <f>AVERAGE('Лист1 (2)'!F234, 'Лист1 (2)'!F249,'Лист1 (2)'!F264)</f>
        <v>0.88515458557198023</v>
      </c>
    </row>
    <row r="11" spans="1:13" x14ac:dyDescent="0.3">
      <c r="A11" s="1" t="s">
        <v>56</v>
      </c>
      <c r="B11" s="7">
        <f>AVERAGE('Лист1 (2)'!D10, 'Лист1 (2)'!D25,'Лист1 (2)'!D40)</f>
        <v>0.8635876758573463</v>
      </c>
      <c r="C11" s="7">
        <f>AVERAGE('Лист1 (2)'!F10, 'Лист1 (2)'!F25,'Лист1 (2)'!F40)</f>
        <v>0.97650083215863404</v>
      </c>
      <c r="D11" s="7">
        <f>AVERAGE('Лист1 (2)'!C55, 'Лист1 (2)'!D70,'Лист1 (2)'!D85)</f>
        <v>0.8481330006027884</v>
      </c>
      <c r="E11" s="7">
        <f>AVERAGE('Лист1 (2)'!F55, 'Лист1 (2)'!F70,'Лист1 (2)'!F85)</f>
        <v>0.97761277606196229</v>
      </c>
      <c r="F11" s="7">
        <f>AVERAGE('Лист1 (2)'!C100, 'Лист1 (2)'!D115,'Лист1 (2)'!D130)</f>
        <v>0.80640018143213965</v>
      </c>
      <c r="G11" s="7">
        <f>AVERAGE('Лист1 (2)'!F100, 'Лист1 (2)'!F115,'Лист1 (2)'!F130)</f>
        <v>0.9544088460589677</v>
      </c>
      <c r="H11" s="7">
        <f>AVERAGE('Лист1 (2)'!C145, 'Лист1 (2)'!D160,'Лист1 (2)'!D175)</f>
        <v>0.81462490452751302</v>
      </c>
      <c r="I11" s="7">
        <f>AVERAGE('Лист1 (2)'!F145, 'Лист1 (2)'!F160,'Лист1 (2)'!F175)</f>
        <v>0.95319579385463704</v>
      </c>
      <c r="J11" s="7">
        <f>AVERAGE('Лист1 (2)'!C190, 'Лист1 (2)'!D205,'Лист1 (2)'!D220)</f>
        <v>0.85349222549378967</v>
      </c>
      <c r="K11" s="7">
        <f>AVERAGE('Лист1 (2)'!F190, 'Лист1 (2)'!F205,'Лист1 (2)'!F220)</f>
        <v>0.96000553193132898</v>
      </c>
      <c r="L11" s="7">
        <f>AVERAGE('Лист1 (2)'!C235, 'Лист1 (2)'!D250,'Лист1 (2)'!D265)</f>
        <v>0.86407239797568769</v>
      </c>
      <c r="M11" s="7">
        <f>AVERAGE('Лист1 (2)'!F235, 'Лист1 (2)'!F250,'Лист1 (2)'!F265)</f>
        <v>0.96392540673645799</v>
      </c>
    </row>
    <row r="12" spans="1:13" x14ac:dyDescent="0.3">
      <c r="A12" s="1" t="s">
        <v>61</v>
      </c>
      <c r="B12" s="7">
        <f>AVERAGE('Лист1 (2)'!D11, 'Лист1 (2)'!D26,'Лист1 (2)'!D41)</f>
        <v>0.26074086828602167</v>
      </c>
      <c r="C12" s="7">
        <f>AVERAGE('Лист1 (2)'!F11, 'Лист1 (2)'!F26,'Лист1 (2)'!F41)</f>
        <v>0.21598126821687633</v>
      </c>
      <c r="D12" s="7">
        <f>AVERAGE('Лист1 (2)'!C56, 'Лист1 (2)'!D71,'Лист1 (2)'!D86)</f>
        <v>0.18897701613317267</v>
      </c>
      <c r="E12" s="7">
        <f>AVERAGE('Лист1 (2)'!F56, 'Лист1 (2)'!F71,'Лист1 (2)'!F86)</f>
        <v>0.20638545762315233</v>
      </c>
      <c r="F12" s="7">
        <f>AVERAGE('Лист1 (2)'!C101, 'Лист1 (2)'!D116,'Лист1 (2)'!D131)</f>
        <v>0</v>
      </c>
      <c r="G12" s="7">
        <f>AVERAGE('Лист1 (2)'!F101, 'Лист1 (2)'!F116,'Лист1 (2)'!F131)</f>
        <v>0</v>
      </c>
      <c r="H12" s="7">
        <f>AVERAGE('Лист1 (2)'!C146, 'Лист1 (2)'!D161,'Лист1 (2)'!D176)</f>
        <v>0</v>
      </c>
      <c r="I12" s="7">
        <f>AVERAGE('Лист1 (2)'!F146, 'Лист1 (2)'!F161,'Лист1 (2)'!F176)</f>
        <v>0</v>
      </c>
      <c r="J12" s="7">
        <f>AVERAGE('Лист1 (2)'!C191, 'Лист1 (2)'!D206,'Лист1 (2)'!D221)</f>
        <v>0.31106767543002334</v>
      </c>
      <c r="K12" s="7">
        <f>AVERAGE('Лист1 (2)'!F191, 'Лист1 (2)'!F206,'Лист1 (2)'!F221)</f>
        <v>0.35026917815155567</v>
      </c>
      <c r="L12" s="7">
        <f>AVERAGE('Лист1 (2)'!C236, 'Лист1 (2)'!D251,'Лист1 (2)'!D266)</f>
        <v>0.31315628731061201</v>
      </c>
      <c r="M12" s="7">
        <f>AVERAGE('Лист1 (2)'!F236, 'Лист1 (2)'!F251,'Лист1 (2)'!F266)</f>
        <v>0.43463885489766435</v>
      </c>
    </row>
    <row r="13" spans="1:13" x14ac:dyDescent="0.3">
      <c r="A13" s="1" t="s">
        <v>66</v>
      </c>
      <c r="B13" s="7">
        <f>AVERAGE('Лист1 (2)'!D12, 'Лист1 (2)'!D27,'Лист1 (2)'!D42)</f>
        <v>0.738765889593477</v>
      </c>
      <c r="C13" s="7">
        <f>AVERAGE('Лист1 (2)'!F12, 'Лист1 (2)'!F27,'Лист1 (2)'!F42)</f>
        <v>0.82710049081384429</v>
      </c>
      <c r="D13" s="7">
        <f>AVERAGE('Лист1 (2)'!C57, 'Лист1 (2)'!D72,'Лист1 (2)'!D87)</f>
        <v>0.71210966012936738</v>
      </c>
      <c r="E13" s="7">
        <f>AVERAGE('Лист1 (2)'!F57, 'Лист1 (2)'!F72,'Лист1 (2)'!F87)</f>
        <v>0.83382581472180828</v>
      </c>
      <c r="F13" s="7">
        <f>AVERAGE('Лист1 (2)'!C102, 'Лист1 (2)'!D117,'Лист1 (2)'!D132)</f>
        <v>0.66364959155583325</v>
      </c>
      <c r="G13" s="7">
        <f>AVERAGE('Лист1 (2)'!F102, 'Лист1 (2)'!F117,'Лист1 (2)'!F132)</f>
        <v>0.76186672806011491</v>
      </c>
      <c r="H13" s="7">
        <f>AVERAGE('Лист1 (2)'!C147, 'Лист1 (2)'!D162,'Лист1 (2)'!D177)</f>
        <v>0.69176639830644004</v>
      </c>
      <c r="I13" s="7">
        <f>AVERAGE('Лист1 (2)'!F147, 'Лист1 (2)'!F162,'Лист1 (2)'!F177)</f>
        <v>0.78532637631695856</v>
      </c>
      <c r="J13" s="7">
        <f>AVERAGE('Лист1 (2)'!C192, 'Лист1 (2)'!D207,'Лист1 (2)'!D222)</f>
        <v>0.6880275093867011</v>
      </c>
      <c r="K13" s="7">
        <f>AVERAGE('Лист1 (2)'!F192, 'Лист1 (2)'!F207,'Лист1 (2)'!F222)</f>
        <v>0.75888186434960136</v>
      </c>
      <c r="L13" s="7">
        <f>AVERAGE('Лист1 (2)'!C237, 'Лист1 (2)'!D252,'Лист1 (2)'!D267)</f>
        <v>0.69279965690673373</v>
      </c>
      <c r="M13" s="7">
        <f>AVERAGE('Лист1 (2)'!F237, 'Лист1 (2)'!F252,'Лист1 (2)'!F267)</f>
        <v>0.77659053317554738</v>
      </c>
    </row>
    <row r="14" spans="1:13" x14ac:dyDescent="0.3">
      <c r="A14" s="1" t="s">
        <v>71</v>
      </c>
      <c r="B14" s="7">
        <f>AVERAGE('Лист1 (2)'!D13, 'Лист1 (2)'!D28,'Лист1 (2)'!D43)</f>
        <v>0.60848584530288063</v>
      </c>
      <c r="C14" s="7">
        <f>AVERAGE('Лист1 (2)'!F13, 'Лист1 (2)'!F28,'Лист1 (2)'!F43)</f>
        <v>0.54105279868409162</v>
      </c>
      <c r="D14" s="7">
        <f>AVERAGE('Лист1 (2)'!C58, 'Лист1 (2)'!D73,'Лист1 (2)'!D88)</f>
        <v>0.56739531848583302</v>
      </c>
      <c r="E14" s="7">
        <f>AVERAGE('Лист1 (2)'!F58, 'Лист1 (2)'!F73,'Лист1 (2)'!F88)</f>
        <v>0.57448118551800709</v>
      </c>
      <c r="F14" s="7">
        <f>AVERAGE('Лист1 (2)'!C103, 'Лист1 (2)'!D118,'Лист1 (2)'!D133)</f>
        <v>0.45090817845832998</v>
      </c>
      <c r="G14" s="7">
        <f>AVERAGE('Лист1 (2)'!F103, 'Лист1 (2)'!F118,'Лист1 (2)'!F133)</f>
        <v>0.52366951186922928</v>
      </c>
      <c r="H14" s="7">
        <f>AVERAGE('Лист1 (2)'!C148, 'Лист1 (2)'!D163,'Лист1 (2)'!D178)</f>
        <v>0.50412142079370603</v>
      </c>
      <c r="I14" s="7">
        <f>AVERAGE('Лист1 (2)'!F148, 'Лист1 (2)'!F163,'Лист1 (2)'!F178)</f>
        <v>0.55642187417708033</v>
      </c>
      <c r="J14" s="7">
        <f>AVERAGE('Лист1 (2)'!C193, 'Лист1 (2)'!D208,'Лист1 (2)'!D223)</f>
        <v>0.57678042546290831</v>
      </c>
      <c r="K14" s="7">
        <f>AVERAGE('Лист1 (2)'!F193, 'Лист1 (2)'!F208,'Лист1 (2)'!F223)</f>
        <v>0.5820201217408707</v>
      </c>
      <c r="L14" s="7">
        <f>AVERAGE('Лист1 (2)'!C238, 'Лист1 (2)'!D253,'Лист1 (2)'!D268)</f>
        <v>0.56558376376258002</v>
      </c>
      <c r="M14" s="7">
        <f>AVERAGE('Лист1 (2)'!F238, 'Лист1 (2)'!F253,'Лист1 (2)'!F268)</f>
        <v>0.61003916577023898</v>
      </c>
    </row>
    <row r="15" spans="1:13" x14ac:dyDescent="0.3">
      <c r="A15" s="1" t="s">
        <v>76</v>
      </c>
      <c r="B15" s="7">
        <f>AVERAGE('Лист1 (2)'!D14, 'Лист1 (2)'!D29,'Лист1 (2)'!D44)</f>
        <v>0.67290882916205297</v>
      </c>
      <c r="C15" s="7">
        <f>AVERAGE('Лист1 (2)'!F14, 'Лист1 (2)'!F29,'Лист1 (2)'!F44)</f>
        <v>0.68584970690530955</v>
      </c>
      <c r="D15" s="7">
        <f>AVERAGE('Лист1 (2)'!C59, 'Лист1 (2)'!D74,'Лист1 (2)'!D89)</f>
        <v>0.61448784204331597</v>
      </c>
      <c r="E15" s="7">
        <f>AVERAGE('Лист1 (2)'!F59, 'Лист1 (2)'!F74,'Лист1 (2)'!F89)</f>
        <v>0.669219594098594</v>
      </c>
      <c r="F15" s="7">
        <f>AVERAGE('Лист1 (2)'!C104, 'Лист1 (2)'!D119,'Лист1 (2)'!D134)</f>
        <v>0.62996006581928299</v>
      </c>
      <c r="G15" s="7">
        <f>AVERAGE('Лист1 (2)'!F104, 'Лист1 (2)'!F119,'Лист1 (2)'!F134)</f>
        <v>0.73054567098224699</v>
      </c>
      <c r="H15" s="7">
        <f>AVERAGE('Лист1 (2)'!C149, 'Лист1 (2)'!D164,'Лист1 (2)'!D179)</f>
        <v>0.66989651822950735</v>
      </c>
      <c r="I15" s="7">
        <f>AVERAGE('Лист1 (2)'!F149, 'Лист1 (2)'!F164,'Лист1 (2)'!F179)</f>
        <v>0.74282447811299701</v>
      </c>
      <c r="J15" s="7">
        <f>AVERAGE('Лист1 (2)'!C194, 'Лист1 (2)'!D209,'Лист1 (2)'!D224)</f>
        <v>0.64403119271200238</v>
      </c>
      <c r="K15" s="7">
        <f>AVERAGE('Лист1 (2)'!F194, 'Лист1 (2)'!F209,'Лист1 (2)'!F224)</f>
        <v>0.66820172013320478</v>
      </c>
      <c r="L15" s="7">
        <f>AVERAGE('Лист1 (2)'!C239, 'Лист1 (2)'!D254,'Лист1 (2)'!D269)</f>
        <v>0.62795477313684067</v>
      </c>
      <c r="M15" s="7">
        <f>AVERAGE('Лист1 (2)'!F239, 'Лист1 (2)'!F254,'Лист1 (2)'!F269)</f>
        <v>0.66533583318047906</v>
      </c>
    </row>
    <row r="16" spans="1:13" x14ac:dyDescent="0.3">
      <c r="A16" s="1" t="s">
        <v>81</v>
      </c>
      <c r="B16" s="7">
        <f>AVERAGE('Лист1 (2)'!D15, 'Лист1 (2)'!D30,'Лист1 (2)'!D45)</f>
        <v>0.24861866884837971</v>
      </c>
      <c r="C16" s="7">
        <f>AVERAGE('Лист1 (2)'!F15, 'Лист1 (2)'!F30,'Лист1 (2)'!F45)</f>
        <v>0.2243154536304556</v>
      </c>
      <c r="D16" s="7">
        <f>AVERAGE('Лист1 (2)'!C60, 'Лист1 (2)'!D75,'Лист1 (2)'!D90)</f>
        <v>0.2372486772787703</v>
      </c>
      <c r="E16" s="7">
        <f>AVERAGE('Лист1 (2)'!F60, 'Лист1 (2)'!F75,'Лист1 (2)'!F90)</f>
        <v>0.28518951330281334</v>
      </c>
      <c r="F16" s="7">
        <f>AVERAGE('Лист1 (2)'!C105, 'Лист1 (2)'!D120,'Лист1 (2)'!D135)</f>
        <v>0</v>
      </c>
      <c r="G16" s="7">
        <f>AVERAGE('Лист1 (2)'!F105, 'Лист1 (2)'!F120,'Лист1 (2)'!F135)</f>
        <v>0</v>
      </c>
      <c r="H16" s="7">
        <f>AVERAGE('Лист1 (2)'!C150, 'Лист1 (2)'!D165,'Лист1 (2)'!D180)</f>
        <v>0</v>
      </c>
      <c r="I16" s="7">
        <f>AVERAGE('Лист1 (2)'!F150, 'Лист1 (2)'!F165,'Лист1 (2)'!F180)</f>
        <v>0</v>
      </c>
      <c r="J16" s="7">
        <f>AVERAGE('Лист1 (2)'!C195, 'Лист1 (2)'!D210,'Лист1 (2)'!D225)</f>
        <v>0.22573043075189436</v>
      </c>
      <c r="K16" s="7">
        <f>AVERAGE('Лист1 (2)'!F195, 'Лист1 (2)'!F210,'Лист1 (2)'!F225)</f>
        <v>0.21209556107389801</v>
      </c>
      <c r="L16" s="7">
        <f>AVERAGE('Лист1 (2)'!C240, 'Лист1 (2)'!D255,'Лист1 (2)'!D270)</f>
        <v>0.23869688549225701</v>
      </c>
      <c r="M16" s="7">
        <f>AVERAGE('Лист1 (2)'!F240, 'Лист1 (2)'!F255,'Лист1 (2)'!F270)</f>
        <v>0.21805160495143214</v>
      </c>
    </row>
    <row r="17" spans="1:13" x14ac:dyDescent="0.3">
      <c r="A17" s="19" t="s">
        <v>500</v>
      </c>
      <c r="B17" s="20">
        <f>AVERAGE(B3:B16)</f>
        <v>0.62677504211025359</v>
      </c>
      <c r="C17" s="20">
        <f t="shared" ref="C17:G17" si="0">AVERAGE(C3:C16)</f>
        <v>0.63652623645490547</v>
      </c>
      <c r="D17" s="20">
        <f t="shared" si="0"/>
        <v>0.58416346787463136</v>
      </c>
      <c r="E17" s="20">
        <f t="shared" si="0"/>
        <v>0.64843435211098988</v>
      </c>
      <c r="F17" s="20">
        <f t="shared" si="0"/>
        <v>0.51421931971094781</v>
      </c>
      <c r="G17" s="20">
        <f t="shared" si="0"/>
        <v>0.57794372239386593</v>
      </c>
      <c r="H17" s="20">
        <f t="shared" ref="H17" si="1">AVERAGE(H3:H16)</f>
        <v>0.53554783550668639</v>
      </c>
      <c r="I17" s="20">
        <f t="shared" ref="I17" si="2">AVERAGE(I3:I16)</f>
        <v>0.60846202232782776</v>
      </c>
      <c r="J17" s="20">
        <f t="shared" ref="J17" si="3">AVERAGE(J3:J16)</f>
        <v>0.6004407741914084</v>
      </c>
      <c r="K17" s="20">
        <f t="shared" ref="K17" si="4">AVERAGE(K3:K16)</f>
        <v>0.64649644363767067</v>
      </c>
      <c r="L17" s="20">
        <f t="shared" ref="L17" si="5">AVERAGE(L3:L16)</f>
        <v>0.60191072033945692</v>
      </c>
      <c r="M17" s="20">
        <f t="shared" ref="M17" si="6">AVERAGE(M3:M16)</f>
        <v>0.66887028777658097</v>
      </c>
    </row>
    <row r="21" spans="1:13" x14ac:dyDescent="0.3">
      <c r="B21" s="10" t="s">
        <v>517</v>
      </c>
      <c r="C21" s="10"/>
      <c r="D21" s="10"/>
      <c r="E21" s="10"/>
      <c r="F21" s="10"/>
      <c r="G21" s="10"/>
      <c r="H21" s="10"/>
      <c r="I21" s="10"/>
      <c r="J21" s="10"/>
      <c r="K21" s="10"/>
    </row>
    <row r="22" spans="1:13" x14ac:dyDescent="0.3">
      <c r="A22" s="1" t="s">
        <v>496</v>
      </c>
      <c r="B22" s="12" t="s">
        <v>497</v>
      </c>
      <c r="C22" s="12"/>
      <c r="D22" s="12" t="s">
        <v>299</v>
      </c>
      <c r="E22" s="12"/>
      <c r="F22" s="12" t="s">
        <v>501</v>
      </c>
      <c r="G22" s="12"/>
      <c r="H22" s="12" t="s">
        <v>397</v>
      </c>
      <c r="I22" s="12"/>
      <c r="J22" s="12" t="s">
        <v>502</v>
      </c>
      <c r="K22" s="12"/>
      <c r="L22" s="12" t="s">
        <v>503</v>
      </c>
      <c r="M22" s="12"/>
    </row>
    <row r="23" spans="1:13" x14ac:dyDescent="0.3">
      <c r="A23" s="1" t="s">
        <v>495</v>
      </c>
      <c r="B23" s="2" t="s">
        <v>498</v>
      </c>
      <c r="C23" s="2" t="s">
        <v>499</v>
      </c>
      <c r="D23" s="2" t="s">
        <v>498</v>
      </c>
      <c r="E23" s="2" t="s">
        <v>499</v>
      </c>
      <c r="F23" s="2" t="s">
        <v>498</v>
      </c>
      <c r="G23" s="2" t="s">
        <v>499</v>
      </c>
      <c r="H23" s="2" t="s">
        <v>498</v>
      </c>
      <c r="I23" s="2" t="s">
        <v>499</v>
      </c>
      <c r="J23" s="2" t="s">
        <v>498</v>
      </c>
      <c r="K23" s="2" t="s">
        <v>499</v>
      </c>
      <c r="L23" s="2" t="s">
        <v>498</v>
      </c>
      <c r="M23" s="2" t="s">
        <v>499</v>
      </c>
    </row>
    <row r="24" spans="1:13" x14ac:dyDescent="0.3">
      <c r="A24" s="1" t="s">
        <v>16</v>
      </c>
      <c r="B24" s="7">
        <f>_xlfn.STDEV.S('Лист1 (2)'!D2, 'Лист1 (2)'!D17,'Лист1 (2)'!D32)</f>
        <v>1.6924418915433389E-2</v>
      </c>
      <c r="C24" s="7">
        <f>_xlfn.STDEV.S('Лист1 (2)'!F2, 'Лист1 (2)'!F17,'Лист1 (2)'!F32)</f>
        <v>2.8964254107321331E-2</v>
      </c>
      <c r="D24" s="7">
        <f>_xlfn.STDEV.S('Лист1 (2)'!C47, 'Лист1 (2)'!D62,'Лист1 (2)'!D77)</f>
        <v>0.11705735735098112</v>
      </c>
      <c r="E24" s="7">
        <f>_xlfn.STDEV.S('Лист1 (2)'!F47, 'Лист1 (2)'!F62,'Лист1 (2)'!F77)</f>
        <v>2.8061802964356168E-2</v>
      </c>
      <c r="F24" s="7">
        <f>_xlfn.STDEV.S('Лист1 (2)'!C92, 'Лист1 (2)'!D107,'Лист1 (2)'!D122)</f>
        <v>4.804027421362024E-2</v>
      </c>
      <c r="G24" s="7">
        <f>_xlfn.STDEV.S('Лист1 (2)'!F92, 'Лист1 (2)'!F107,'Лист1 (2)'!F122)</f>
        <v>6.1306382170878776E-2</v>
      </c>
      <c r="H24" s="7">
        <f>_xlfn.STDEV.S('Лист1 (2)'!C137, 'Лист1 (2)'!D152,'Лист1 (2)'!D167)</f>
        <v>5.6379473021945507E-2</v>
      </c>
      <c r="I24" s="7">
        <f>_xlfn.STDEV.S('Лист1 (2)'!F137, 'Лист1 (2)'!F152,'Лист1 (2)'!F167)</f>
        <v>6.8357042803162973E-2</v>
      </c>
      <c r="J24" s="7">
        <f>_xlfn.STDEV.S('Лист1 (2)'!C182, 'Лист1 (2)'!D197,'Лист1 (2)'!D212)</f>
        <v>8.1130311361936672E-2</v>
      </c>
      <c r="K24" s="7">
        <f>_xlfn.STDEV.S('Лист1 (2)'!F182, 'Лист1 (2)'!F197,'Лист1 (2)'!F212)</f>
        <v>2.233676198245671E-2</v>
      </c>
      <c r="L24" s="7">
        <f>_xlfn.STDEV.S('Лист1 (2)'!C227, 'Лист1 (2)'!D242,'Лист1 (2)'!D257)</f>
        <v>8.2203450076487633E-2</v>
      </c>
      <c r="M24" s="7">
        <f>_xlfn.STDEV.S('Лист1 (2)'!F227, 'Лист1 (2)'!F242,'Лист1 (2)'!F257)</f>
        <v>3.5810174600109913E-2</v>
      </c>
    </row>
    <row r="25" spans="1:13" x14ac:dyDescent="0.3">
      <c r="A25" s="1" t="s">
        <v>21</v>
      </c>
      <c r="B25" s="7">
        <f>_xlfn.STDEV.S('Лист1 (2)'!D3, 'Лист1 (2)'!D18,'Лист1 (2)'!D33)</f>
        <v>5.8621800153559236E-2</v>
      </c>
      <c r="C25" s="7">
        <f>_xlfn.STDEV.S('Лист1 (2)'!F3, 'Лист1 (2)'!F18,'Лист1 (2)'!F33)</f>
        <v>6.1354181845629373E-2</v>
      </c>
      <c r="D25" s="7">
        <f>_xlfn.STDEV.S('Лист1 (2)'!C48, 'Лист1 (2)'!D63,'Лист1 (2)'!D78)</f>
        <v>0.10562991505950954</v>
      </c>
      <c r="E25" s="7">
        <f>_xlfn.STDEV.S('Лист1 (2)'!F48, 'Лист1 (2)'!F63,'Лист1 (2)'!F78)</f>
        <v>9.7460682336922053E-2</v>
      </c>
      <c r="F25" s="7">
        <f>_xlfn.STDEV.S('Лист1 (2)'!C93, 'Лист1 (2)'!D108,'Лист1 (2)'!D123)</f>
        <v>4.6756808522599891E-2</v>
      </c>
      <c r="G25" s="7">
        <f>_xlfn.STDEV.S('Лист1 (2)'!F93, 'Лист1 (2)'!F108,'Лист1 (2)'!F123)</f>
        <v>8.6894136577969086E-2</v>
      </c>
      <c r="H25" s="7">
        <f>_xlfn.STDEV.S('Лист1 (2)'!C138, 'Лист1 (2)'!D153,'Лист1 (2)'!D168)</f>
        <v>8.4845371317910048E-2</v>
      </c>
      <c r="I25" s="7">
        <f>_xlfn.STDEV.S('Лист1 (2)'!F138, 'Лист1 (2)'!F153,'Лист1 (2)'!F168)</f>
        <v>9.8488852555258244E-2</v>
      </c>
      <c r="J25" s="7">
        <f>_xlfn.STDEV.S('Лист1 (2)'!C183, 'Лист1 (2)'!D198,'Лист1 (2)'!D213)</f>
        <v>0.11523657454084811</v>
      </c>
      <c r="K25" s="7">
        <f>_xlfn.STDEV.S('Лист1 (2)'!F183, 'Лист1 (2)'!F198,'Лист1 (2)'!F213)</f>
        <v>0.10529808313674736</v>
      </c>
      <c r="L25" s="7">
        <f>_xlfn.STDEV.S('Лист1 (2)'!C228, 'Лист1 (2)'!D243,'Лист1 (2)'!D258)</f>
        <v>9.4468314160425226E-2</v>
      </c>
      <c r="M25" s="7">
        <f>_xlfn.STDEV.S('Лист1 (2)'!F228, 'Лист1 (2)'!F243,'Лист1 (2)'!F258)</f>
        <v>9.2316671873059544E-2</v>
      </c>
    </row>
    <row r="26" spans="1:13" x14ac:dyDescent="0.3">
      <c r="A26" s="1" t="s">
        <v>26</v>
      </c>
      <c r="B26" s="7">
        <f>_xlfn.STDEV.S('Лист1 (2)'!D4, 'Лист1 (2)'!D19,'Лист1 (2)'!D34)</f>
        <v>6.7640452431689474E-3</v>
      </c>
      <c r="C26" s="7">
        <f>_xlfn.STDEV.S('Лист1 (2)'!F4, 'Лист1 (2)'!F19,'Лист1 (2)'!F34)</f>
        <v>5.6293498487999813E-3</v>
      </c>
      <c r="D26" s="7">
        <f>_xlfn.STDEV.S('Лист1 (2)'!C49, 'Лист1 (2)'!D64,'Лист1 (2)'!D79)</f>
        <v>7.2853691357895906E-2</v>
      </c>
      <c r="E26" s="7">
        <f>_xlfn.STDEV.S('Лист1 (2)'!F49, 'Лист1 (2)'!F64,'Лист1 (2)'!F79)</f>
        <v>2.3187260979567512E-2</v>
      </c>
      <c r="F26" s="7">
        <f>_xlfn.STDEV.S('Лист1 (2)'!C94, 'Лист1 (2)'!D109,'Лист1 (2)'!D124)</f>
        <v>9.7061320109825391E-2</v>
      </c>
      <c r="G26" s="7">
        <f>_xlfn.STDEV.S('Лист1 (2)'!F94, 'Лист1 (2)'!F109,'Лист1 (2)'!F124)</f>
        <v>2.3991145080834109E-2</v>
      </c>
      <c r="H26" s="7">
        <f>_xlfn.STDEV.S('Лист1 (2)'!C139, 'Лист1 (2)'!D154,'Лист1 (2)'!D169)</f>
        <v>9.5332509321778683E-2</v>
      </c>
      <c r="I26" s="7">
        <f>_xlfn.STDEV.S('Лист1 (2)'!F139, 'Лист1 (2)'!F154,'Лист1 (2)'!F169)</f>
        <v>3.0903626044659637E-2</v>
      </c>
      <c r="J26" s="7">
        <f>_xlfn.STDEV.S('Лист1 (2)'!C184, 'Лист1 (2)'!D199,'Лист1 (2)'!D214)</f>
        <v>4.807218206362962E-2</v>
      </c>
      <c r="K26" s="7">
        <f>_xlfn.STDEV.S('Лист1 (2)'!F184, 'Лист1 (2)'!F199,'Лист1 (2)'!F214)</f>
        <v>5.5984342456314957E-2</v>
      </c>
      <c r="L26" s="7">
        <f>_xlfn.STDEV.S('Лист1 (2)'!C229, 'Лист1 (2)'!D244,'Лист1 (2)'!D259)</f>
        <v>6.0751776555955803E-2</v>
      </c>
      <c r="M26" s="7">
        <f>_xlfn.STDEV.S('Лист1 (2)'!F229, 'Лист1 (2)'!F244,'Лист1 (2)'!F259)</f>
        <v>4.9881084147557993E-2</v>
      </c>
    </row>
    <row r="27" spans="1:13" x14ac:dyDescent="0.3">
      <c r="A27" s="1" t="s">
        <v>31</v>
      </c>
      <c r="B27" s="7">
        <f>_xlfn.STDEV.S('Лист1 (2)'!D5, 'Лист1 (2)'!D20,'Лист1 (2)'!D35)</f>
        <v>4.0851400089637217E-2</v>
      </c>
      <c r="C27" s="7">
        <f>_xlfn.STDEV.S('Лист1 (2)'!F5, 'Лист1 (2)'!F20,'Лист1 (2)'!F35)</f>
        <v>8.8389498844968689E-2</v>
      </c>
      <c r="D27" s="7">
        <f>_xlfn.STDEV.S('Лист1 (2)'!C50, 'Лист1 (2)'!D65,'Лист1 (2)'!D80)</f>
        <v>0.13751040313423171</v>
      </c>
      <c r="E27" s="7">
        <f>_xlfn.STDEV.S('Лист1 (2)'!F50, 'Лист1 (2)'!F65,'Лист1 (2)'!F80)</f>
        <v>7.3793353722656357E-2</v>
      </c>
      <c r="F27" s="7">
        <f>_xlfn.STDEV.S('Лист1 (2)'!C95, 'Лист1 (2)'!D110,'Лист1 (2)'!D125)</f>
        <v>6.3777146229048232E-2</v>
      </c>
      <c r="G27" s="7">
        <f>_xlfn.STDEV.S('Лист1 (2)'!F95, 'Лист1 (2)'!F110,'Лист1 (2)'!F125)</f>
        <v>4.2133214946051156E-2</v>
      </c>
      <c r="H27" s="7">
        <f>_xlfn.STDEV.S('Лист1 (2)'!C140, 'Лист1 (2)'!D155,'Лист1 (2)'!D170)</f>
        <v>7.891807728289886E-2</v>
      </c>
      <c r="I27" s="7">
        <f>_xlfn.STDEV.S('Лист1 (2)'!F140, 'Лист1 (2)'!F155,'Лист1 (2)'!F170)</f>
        <v>5.8121427685984259E-2</v>
      </c>
      <c r="J27" s="7">
        <f>_xlfn.STDEV.S('Лист1 (2)'!C185, 'Лист1 (2)'!D200,'Лист1 (2)'!D215)</f>
        <v>7.1694546869886369E-2</v>
      </c>
      <c r="K27" s="7">
        <f>_xlfn.STDEV.S('Лист1 (2)'!F185, 'Лист1 (2)'!F200,'Лист1 (2)'!F215)</f>
        <v>3.7942568671898283E-2</v>
      </c>
      <c r="L27" s="7">
        <f>_xlfn.STDEV.S('Лист1 (2)'!C230, 'Лист1 (2)'!D245,'Лист1 (2)'!D260)</f>
        <v>7.8270200553276673E-2</v>
      </c>
      <c r="M27" s="7">
        <f>_xlfn.STDEV.S('Лист1 (2)'!F230, 'Лист1 (2)'!F245,'Лист1 (2)'!F260)</f>
        <v>3.8928132432195471E-2</v>
      </c>
    </row>
    <row r="28" spans="1:13" x14ac:dyDescent="0.3">
      <c r="A28" s="1" t="s">
        <v>36</v>
      </c>
      <c r="B28" s="7">
        <f>_xlfn.STDEV.S('Лист1 (2)'!D6, 'Лист1 (2)'!D21,'Лист1 (2)'!D36)</f>
        <v>2.4427757553439369E-2</v>
      </c>
      <c r="C28" s="7">
        <f>_xlfn.STDEV.S('Лист1 (2)'!F6, 'Лист1 (2)'!F21,'Лист1 (2)'!F36)</f>
        <v>4.5510963311315447E-2</v>
      </c>
      <c r="D28" s="7">
        <f>_xlfn.STDEV.S('Лист1 (2)'!C51, 'Лист1 (2)'!D66,'Лист1 (2)'!D81)</f>
        <v>8.2493732973183811E-2</v>
      </c>
      <c r="E28" s="7">
        <f>_xlfn.STDEV.S('Лист1 (2)'!F51, 'Лист1 (2)'!F66,'Лист1 (2)'!F81)</f>
        <v>4.5689083561542991E-2</v>
      </c>
      <c r="F28" s="7">
        <f>_xlfn.STDEV.S('Лист1 (2)'!C96, 'Лист1 (2)'!D111,'Лист1 (2)'!D126)</f>
        <v>1.0220598830835467E-2</v>
      </c>
      <c r="G28" s="7">
        <f>_xlfn.STDEV.S('Лист1 (2)'!F96, 'Лист1 (2)'!F111,'Лист1 (2)'!F126)</f>
        <v>5.2646393268247327E-2</v>
      </c>
      <c r="H28" s="7">
        <f>_xlfn.STDEV.S('Лист1 (2)'!C141, 'Лист1 (2)'!D156,'Лист1 (2)'!D171)</f>
        <v>2.9134835363080414E-2</v>
      </c>
      <c r="I28" s="7">
        <f>_xlfn.STDEV.S('Лист1 (2)'!F141, 'Лист1 (2)'!F156,'Лист1 (2)'!F171)</f>
        <v>3.4629826761811845E-2</v>
      </c>
      <c r="J28" s="7">
        <f>_xlfn.STDEV.S('Лист1 (2)'!C186, 'Лист1 (2)'!D201,'Лист1 (2)'!D216)</f>
        <v>3.2714646686782374E-2</v>
      </c>
      <c r="K28" s="7">
        <f>_xlfn.STDEV.S('Лист1 (2)'!F186, 'Лист1 (2)'!F201,'Лист1 (2)'!F216)</f>
        <v>4.6391260102048013E-2</v>
      </c>
      <c r="L28" s="7">
        <f>_xlfn.STDEV.S('Лист1 (2)'!C231, 'Лист1 (2)'!D246,'Лист1 (2)'!D261)</f>
        <v>1.902169331293754E-2</v>
      </c>
      <c r="M28" s="7">
        <f>_xlfn.STDEV.S('Лист1 (2)'!F231, 'Лист1 (2)'!F246,'Лист1 (2)'!F261)</f>
        <v>2.448543272135513E-2</v>
      </c>
    </row>
    <row r="29" spans="1:13" x14ac:dyDescent="0.3">
      <c r="A29" s="1" t="s">
        <v>41</v>
      </c>
      <c r="B29" s="7">
        <f>_xlfn.STDEV.S('Лист1 (2)'!D7, 'Лист1 (2)'!D22,'Лист1 (2)'!D37)</f>
        <v>3.7998625192798362E-2</v>
      </c>
      <c r="C29" s="7">
        <f>_xlfn.STDEV.S('Лист1 (2)'!F7, 'Лист1 (2)'!F22,'Лист1 (2)'!F37)</f>
        <v>6.3388198755827505E-2</v>
      </c>
      <c r="D29" s="7">
        <f>_xlfn.STDEV.S('Лист1 (2)'!C52, 'Лист1 (2)'!D67,'Лист1 (2)'!D82)</f>
        <v>7.4322460413845381E-2</v>
      </c>
      <c r="E29" s="7">
        <f>_xlfn.STDEV.S('Лист1 (2)'!F52, 'Лист1 (2)'!F67,'Лист1 (2)'!F82)</f>
        <v>6.1125529217040106E-2</v>
      </c>
      <c r="F29" s="7">
        <f>_xlfn.STDEV.S('Лист1 (2)'!C97, 'Лист1 (2)'!D112,'Лист1 (2)'!D127)</f>
        <v>0.1320475481673532</v>
      </c>
      <c r="G29" s="7">
        <f>_xlfn.STDEV.S('Лист1 (2)'!F97, 'Лист1 (2)'!F112,'Лист1 (2)'!F127)</f>
        <v>3.0614098597567994E-2</v>
      </c>
      <c r="H29" s="7">
        <f>_xlfn.STDEV.S('Лист1 (2)'!C142, 'Лист1 (2)'!D157,'Лист1 (2)'!D172)</f>
        <v>0.12940257109755782</v>
      </c>
      <c r="I29" s="7">
        <f>_xlfn.STDEV.S('Лист1 (2)'!F142, 'Лист1 (2)'!F157,'Лист1 (2)'!F172)</f>
        <v>5.8965710345391928E-2</v>
      </c>
      <c r="J29" s="7">
        <f>_xlfn.STDEV.S('Лист1 (2)'!C187, 'Лист1 (2)'!D202,'Лист1 (2)'!D217)</f>
        <v>0.13758253360894748</v>
      </c>
      <c r="K29" s="7">
        <f>_xlfn.STDEV.S('Лист1 (2)'!F187, 'Лист1 (2)'!F202,'Лист1 (2)'!F217)</f>
        <v>4.4904513383726738E-2</v>
      </c>
      <c r="L29" s="7">
        <f>_xlfn.STDEV.S('Лист1 (2)'!C232, 'Лист1 (2)'!D247,'Лист1 (2)'!D262)</f>
        <v>0.12261553096503809</v>
      </c>
      <c r="M29" s="7">
        <f>_xlfn.STDEV.S('Лист1 (2)'!F232, 'Лист1 (2)'!F247,'Лист1 (2)'!F262)</f>
        <v>2.611641653260546E-2</v>
      </c>
    </row>
    <row r="30" spans="1:13" x14ac:dyDescent="0.3">
      <c r="A30" s="1" t="s">
        <v>46</v>
      </c>
      <c r="B30" s="7">
        <f>_xlfn.STDEV.S('Лист1 (2)'!D8, 'Лист1 (2)'!D23,'Лист1 (2)'!D38)</f>
        <v>2.224201828085744E-2</v>
      </c>
      <c r="C30" s="7">
        <f>_xlfn.STDEV.S('Лист1 (2)'!F8, 'Лист1 (2)'!F23,'Лист1 (2)'!F38)</f>
        <v>3.7284306770246339E-3</v>
      </c>
      <c r="D30" s="7">
        <f>_xlfn.STDEV.S('Лист1 (2)'!C53, 'Лист1 (2)'!D68,'Лист1 (2)'!D83)</f>
        <v>0.10125354227360894</v>
      </c>
      <c r="E30" s="7">
        <f>_xlfn.STDEV.S('Лист1 (2)'!F53, 'Лист1 (2)'!F68,'Лист1 (2)'!F83)</f>
        <v>6.4019183448838545E-3</v>
      </c>
      <c r="F30" s="7">
        <f>_xlfn.STDEV.S('Лист1 (2)'!C98, 'Лист1 (2)'!D113,'Лист1 (2)'!D128)</f>
        <v>5.8866188828697159E-2</v>
      </c>
      <c r="G30" s="7">
        <f>_xlfn.STDEV.S('Лист1 (2)'!F98, 'Лист1 (2)'!F113,'Лист1 (2)'!F128)</f>
        <v>4.6831352221129795E-2</v>
      </c>
      <c r="H30" s="7">
        <f>_xlfn.STDEV.S('Лист1 (2)'!C143, 'Лист1 (2)'!D158,'Лист1 (2)'!D173)</f>
        <v>8.8763018615301836E-2</v>
      </c>
      <c r="I30" s="7">
        <f>_xlfn.STDEV.S('Лист1 (2)'!F143, 'Лист1 (2)'!F158,'Лист1 (2)'!F173)</f>
        <v>4.5415005257659437E-2</v>
      </c>
      <c r="J30" s="7">
        <f>_xlfn.STDEV.S('Лист1 (2)'!C188, 'Лист1 (2)'!D203,'Лист1 (2)'!D218)</f>
        <v>9.5930986126388618E-2</v>
      </c>
      <c r="K30" s="7">
        <f>_xlfn.STDEV.S('Лист1 (2)'!F188, 'Лист1 (2)'!F203,'Лист1 (2)'!F218)</f>
        <v>5.083181682400037E-2</v>
      </c>
      <c r="L30" s="7">
        <f>_xlfn.STDEV.S('Лист1 (2)'!C233, 'Лист1 (2)'!D248,'Лист1 (2)'!D263)</f>
        <v>9.1475724188405827E-2</v>
      </c>
      <c r="M30" s="7">
        <f>_xlfn.STDEV.S('Лист1 (2)'!F233, 'Лист1 (2)'!F248,'Лист1 (2)'!F263)</f>
        <v>3.5879758231969386E-2</v>
      </c>
    </row>
    <row r="31" spans="1:13" x14ac:dyDescent="0.3">
      <c r="A31" s="1" t="s">
        <v>51</v>
      </c>
      <c r="B31" s="7">
        <f>_xlfn.STDEV.S('Лист1 (2)'!D9, 'Лист1 (2)'!D24,'Лист1 (2)'!D39)</f>
        <v>4.143948687779319E-2</v>
      </c>
      <c r="C31" s="7">
        <f>_xlfn.STDEV.S('Лист1 (2)'!F9, 'Лист1 (2)'!F24,'Лист1 (2)'!F39)</f>
        <v>4.6659128614345284E-2</v>
      </c>
      <c r="D31" s="7">
        <f>_xlfn.STDEV.S('Лист1 (2)'!C54, 'Лист1 (2)'!D69,'Лист1 (2)'!D84)</f>
        <v>0.13307247320558829</v>
      </c>
      <c r="E31" s="7">
        <f>_xlfn.STDEV.S('Лист1 (2)'!F54, 'Лист1 (2)'!F69,'Лист1 (2)'!F84)</f>
        <v>3.996171193730181E-2</v>
      </c>
      <c r="F31" s="7">
        <f>_xlfn.STDEV.S('Лист1 (2)'!C99, 'Лист1 (2)'!D114,'Лист1 (2)'!D129)</f>
        <v>7.0030083045657388E-2</v>
      </c>
      <c r="G31" s="7">
        <f>_xlfn.STDEV.S('Лист1 (2)'!F99, 'Лист1 (2)'!F114,'Лист1 (2)'!F129)</f>
        <v>5.7665310240978263E-3</v>
      </c>
      <c r="H31" s="7">
        <f>_xlfn.STDEV.S('Лист1 (2)'!C144, 'Лист1 (2)'!D159,'Лист1 (2)'!D174)</f>
        <v>7.5564036887435529E-2</v>
      </c>
      <c r="I31" s="7">
        <f>_xlfn.STDEV.S('Лист1 (2)'!F144, 'Лист1 (2)'!F159,'Лист1 (2)'!F174)</f>
        <v>9.111819905192959E-3</v>
      </c>
      <c r="J31" s="7">
        <f>_xlfn.STDEV.S('Лист1 (2)'!C189, 'Лист1 (2)'!D204,'Лист1 (2)'!D219)</f>
        <v>7.4495893737485677E-2</v>
      </c>
      <c r="K31" s="7">
        <f>_xlfn.STDEV.S('Лист1 (2)'!F189, 'Лист1 (2)'!F204,'Лист1 (2)'!F219)</f>
        <v>4.3608587791975566E-2</v>
      </c>
      <c r="L31" s="7">
        <f>_xlfn.STDEV.S('Лист1 (2)'!C234, 'Лист1 (2)'!D249,'Лист1 (2)'!D264)</f>
        <v>6.2297114097603523E-2</v>
      </c>
      <c r="M31" s="7">
        <f>_xlfn.STDEV.S('Лист1 (2)'!F234, 'Лист1 (2)'!F249,'Лист1 (2)'!F264)</f>
        <v>2.4580498946466991E-2</v>
      </c>
    </row>
    <row r="32" spans="1:13" x14ac:dyDescent="0.3">
      <c r="A32" s="1" t="s">
        <v>56</v>
      </c>
      <c r="B32" s="7">
        <f>_xlfn.STDEV.S('Лист1 (2)'!D10, 'Лист1 (2)'!D25,'Лист1 (2)'!D40)</f>
        <v>2.5468438342601915E-2</v>
      </c>
      <c r="C32" s="7">
        <f>_xlfn.STDEV.S('Лист1 (2)'!F10, 'Лист1 (2)'!F25,'Лист1 (2)'!F40)</f>
        <v>1.1977184798309887E-2</v>
      </c>
      <c r="D32" s="7">
        <f>_xlfn.STDEV.S('Лист1 (2)'!C55, 'Лист1 (2)'!D70,'Лист1 (2)'!D85)</f>
        <v>5.8485227502683236E-2</v>
      </c>
      <c r="E32" s="7">
        <f>_xlfn.STDEV.S('Лист1 (2)'!F55, 'Лист1 (2)'!F70,'Лист1 (2)'!F85)</f>
        <v>1.3031912553491939E-2</v>
      </c>
      <c r="F32" s="7">
        <f>_xlfn.STDEV.S('Лист1 (2)'!C100, 'Лист1 (2)'!D115,'Лист1 (2)'!D130)</f>
        <v>7.9784884534604777E-2</v>
      </c>
      <c r="G32" s="7">
        <f>_xlfn.STDEV.S('Лист1 (2)'!F100, 'Лист1 (2)'!F115,'Лист1 (2)'!F130)</f>
        <v>1.4470955620640958E-2</v>
      </c>
      <c r="H32" s="7">
        <f>_xlfn.STDEV.S('Лист1 (2)'!C145, 'Лист1 (2)'!D160,'Лист1 (2)'!D175)</f>
        <v>7.333404440589307E-2</v>
      </c>
      <c r="I32" s="7">
        <f>_xlfn.STDEV.S('Лист1 (2)'!F145, 'Лист1 (2)'!F160,'Лист1 (2)'!F175)</f>
        <v>1.4131648263360027E-2</v>
      </c>
      <c r="J32" s="7">
        <f>_xlfn.STDEV.S('Лист1 (2)'!C190, 'Лист1 (2)'!D205,'Лист1 (2)'!D220)</f>
        <v>3.1382701267772289E-2</v>
      </c>
      <c r="K32" s="7">
        <f>_xlfn.STDEV.S('Лист1 (2)'!F190, 'Лист1 (2)'!F205,'Лист1 (2)'!F220)</f>
        <v>1.1237555036996656E-2</v>
      </c>
      <c r="L32" s="7">
        <f>_xlfn.STDEV.S('Лист1 (2)'!C235, 'Лист1 (2)'!D250,'Лист1 (2)'!D265)</f>
        <v>3.2738083901839632E-2</v>
      </c>
      <c r="M32" s="7">
        <f>_xlfn.STDEV.S('Лист1 (2)'!F235, 'Лист1 (2)'!F250,'Лист1 (2)'!F265)</f>
        <v>1.4697560821471778E-2</v>
      </c>
    </row>
    <row r="33" spans="1:13" x14ac:dyDescent="0.3">
      <c r="A33" s="1" t="s">
        <v>61</v>
      </c>
      <c r="B33" s="7">
        <f>_xlfn.STDEV.S('Лист1 (2)'!D11, 'Лист1 (2)'!D26,'Лист1 (2)'!D41)</f>
        <v>2.1399831100784032E-2</v>
      </c>
      <c r="C33" s="7">
        <f>_xlfn.STDEV.S('Лист1 (2)'!F11, 'Лист1 (2)'!F26,'Лист1 (2)'!F41)</f>
        <v>3.6121090907894629E-2</v>
      </c>
      <c r="D33" s="7">
        <f>_xlfn.STDEV.S('Лист1 (2)'!C56, 'Лист1 (2)'!D71,'Лист1 (2)'!D86)</f>
        <v>4.2218281663114386E-2</v>
      </c>
      <c r="E33" s="7">
        <f>_xlfn.STDEV.S('Лист1 (2)'!F56, 'Лист1 (2)'!F71,'Лист1 (2)'!F86)</f>
        <v>4.8016706023522461E-2</v>
      </c>
      <c r="F33" s="7">
        <f>_xlfn.STDEV.S('Лист1 (2)'!C101, 'Лист1 (2)'!D116,'Лист1 (2)'!D131)</f>
        <v>0</v>
      </c>
      <c r="G33" s="7">
        <f>_xlfn.STDEV.S('Лист1 (2)'!F101, 'Лист1 (2)'!F116,'Лист1 (2)'!F131)</f>
        <v>0</v>
      </c>
      <c r="H33" s="7">
        <f>_xlfn.STDEV.S('Лист1 (2)'!C146, 'Лист1 (2)'!D161,'Лист1 (2)'!D176)</f>
        <v>0</v>
      </c>
      <c r="I33" s="7">
        <f>_xlfn.STDEV.S('Лист1 (2)'!F146, 'Лист1 (2)'!F161,'Лист1 (2)'!F176)</f>
        <v>0</v>
      </c>
      <c r="J33" s="7">
        <f>_xlfn.STDEV.S('Лист1 (2)'!C191, 'Лист1 (2)'!D206,'Лист1 (2)'!D221)</f>
        <v>7.738628239201592E-2</v>
      </c>
      <c r="K33" s="7">
        <f>_xlfn.STDEV.S('Лист1 (2)'!F191, 'Лист1 (2)'!F206,'Лист1 (2)'!F221)</f>
        <v>1.9782333764561282E-2</v>
      </c>
      <c r="L33" s="7">
        <f>_xlfn.STDEV.S('Лист1 (2)'!C236, 'Лист1 (2)'!D251,'Лист1 (2)'!D266)</f>
        <v>7.8630397259477722E-2</v>
      </c>
      <c r="M33" s="7">
        <f>_xlfn.STDEV.S('Лист1 (2)'!F236, 'Лист1 (2)'!F251,'Лист1 (2)'!F266)</f>
        <v>2.150120212409927E-2</v>
      </c>
    </row>
    <row r="34" spans="1:13" x14ac:dyDescent="0.3">
      <c r="A34" s="1" t="s">
        <v>66</v>
      </c>
      <c r="B34" s="7">
        <f>_xlfn.STDEV.S('Лист1 (2)'!D12, 'Лист1 (2)'!D27,'Лист1 (2)'!D42)</f>
        <v>7.915403208468931E-3</v>
      </c>
      <c r="C34" s="7">
        <f>_xlfn.STDEV.S('Лист1 (2)'!F12, 'Лист1 (2)'!F27,'Лист1 (2)'!F42)</f>
        <v>3.833448110639557E-2</v>
      </c>
      <c r="D34" s="7">
        <f>_xlfn.STDEV.S('Лист1 (2)'!C57, 'Лист1 (2)'!D72,'Лист1 (2)'!D87)</f>
        <v>8.711691340347083E-2</v>
      </c>
      <c r="E34" s="7">
        <f>_xlfn.STDEV.S('Лист1 (2)'!F57, 'Лист1 (2)'!F72,'Лист1 (2)'!F87)</f>
        <v>2.8566896481419416E-2</v>
      </c>
      <c r="F34" s="7">
        <f>_xlfn.STDEV.S('Лист1 (2)'!C102, 'Лист1 (2)'!D117,'Лист1 (2)'!D132)</f>
        <v>7.0368550626866616E-2</v>
      </c>
      <c r="G34" s="7">
        <f>_xlfn.STDEV.S('Лист1 (2)'!F102, 'Лист1 (2)'!F117,'Лист1 (2)'!F132)</f>
        <v>1.4098982801949621E-2</v>
      </c>
      <c r="H34" s="7">
        <f>_xlfn.STDEV.S('Лист1 (2)'!C147, 'Лист1 (2)'!D162,'Лист1 (2)'!D177)</f>
        <v>9.4587062423720253E-2</v>
      </c>
      <c r="I34" s="7">
        <f>_xlfn.STDEV.S('Лист1 (2)'!F147, 'Лист1 (2)'!F162,'Лист1 (2)'!F177)</f>
        <v>3.6396756935153013E-2</v>
      </c>
      <c r="J34" s="7">
        <f>_xlfn.STDEV.S('Лист1 (2)'!C192, 'Лист1 (2)'!D207,'Лист1 (2)'!D222)</f>
        <v>9.9528834881846828E-2</v>
      </c>
      <c r="K34" s="7">
        <f>_xlfn.STDEV.S('Лист1 (2)'!F192, 'Лист1 (2)'!F207,'Лист1 (2)'!F222)</f>
        <v>3.6518797817248596E-3</v>
      </c>
      <c r="L34" s="7">
        <f>_xlfn.STDEV.S('Лист1 (2)'!C237, 'Лист1 (2)'!D252,'Лист1 (2)'!D267)</f>
        <v>0.10018827964052159</v>
      </c>
      <c r="M34" s="7">
        <f>_xlfn.STDEV.S('Лист1 (2)'!F237, 'Лист1 (2)'!F252,'Лист1 (2)'!F267)</f>
        <v>5.3745015390041985E-2</v>
      </c>
    </row>
    <row r="35" spans="1:13" x14ac:dyDescent="0.3">
      <c r="A35" s="1" t="s">
        <v>71</v>
      </c>
      <c r="B35" s="7">
        <f>_xlfn.STDEV.S('Лист1 (2)'!D13, 'Лист1 (2)'!D28,'Лист1 (2)'!D43)</f>
        <v>0.10758012274729059</v>
      </c>
      <c r="C35" s="7">
        <f>_xlfn.STDEV.S('Лист1 (2)'!F13, 'Лист1 (2)'!F28,'Лист1 (2)'!F43)</f>
        <v>0.15848712420458805</v>
      </c>
      <c r="D35" s="7">
        <f>_xlfn.STDEV.S('Лист1 (2)'!C58, 'Лист1 (2)'!D73,'Лист1 (2)'!D88)</f>
        <v>0.19256303281165515</v>
      </c>
      <c r="E35" s="7">
        <f>_xlfn.STDEV.S('Лист1 (2)'!F58, 'Лист1 (2)'!F73,'Лист1 (2)'!F88)</f>
        <v>0.13926615976973319</v>
      </c>
      <c r="F35" s="7">
        <f>_xlfn.STDEV.S('Лист1 (2)'!C103, 'Лист1 (2)'!D118,'Лист1 (2)'!D133)</f>
        <v>0.12202588950879734</v>
      </c>
      <c r="G35" s="7">
        <f>_xlfn.STDEV.S('Лист1 (2)'!F103, 'Лист1 (2)'!F118,'Лист1 (2)'!F133)</f>
        <v>0.15134783572864619</v>
      </c>
      <c r="H35" s="7">
        <f>_xlfn.STDEV.S('Лист1 (2)'!C148, 'Лист1 (2)'!D163,'Лист1 (2)'!D178)</f>
        <v>0.10776183927911767</v>
      </c>
      <c r="I35" s="7">
        <f>_xlfn.STDEV.S('Лист1 (2)'!F148, 'Лист1 (2)'!F163,'Лист1 (2)'!F178)</f>
        <v>0.17095071000806333</v>
      </c>
      <c r="J35" s="7">
        <f>_xlfn.STDEV.S('Лист1 (2)'!C193, 'Лист1 (2)'!D208,'Лист1 (2)'!D223)</f>
        <v>0.1040063706029952</v>
      </c>
      <c r="K35" s="7">
        <f>_xlfn.STDEV.S('Лист1 (2)'!F193, 'Лист1 (2)'!F208,'Лист1 (2)'!F223)</f>
        <v>0.15652448448199507</v>
      </c>
      <c r="L35" s="7">
        <f>_xlfn.STDEV.S('Лист1 (2)'!C238, 'Лист1 (2)'!D253,'Лист1 (2)'!D268)</f>
        <v>8.9480248083978906E-2</v>
      </c>
      <c r="M35" s="7">
        <f>_xlfn.STDEV.S('Лист1 (2)'!F238, 'Лист1 (2)'!F253,'Лист1 (2)'!F268)</f>
        <v>0.15631792980247416</v>
      </c>
    </row>
    <row r="36" spans="1:13" x14ac:dyDescent="0.3">
      <c r="A36" s="1" t="s">
        <v>76</v>
      </c>
      <c r="B36" s="7">
        <f>_xlfn.STDEV.S('Лист1 (2)'!D14, 'Лист1 (2)'!D29,'Лист1 (2)'!D44)</f>
        <v>2.9111166578904696E-2</v>
      </c>
      <c r="C36" s="7">
        <f>_xlfn.STDEV.S('Лист1 (2)'!F14, 'Лист1 (2)'!F29,'Лист1 (2)'!F44)</f>
        <v>5.8541347537109462E-2</v>
      </c>
      <c r="D36" s="7">
        <f>_xlfn.STDEV.S('Лист1 (2)'!C59, 'Лист1 (2)'!D74,'Лист1 (2)'!D89)</f>
        <v>9.5917742769797823E-2</v>
      </c>
      <c r="E36" s="7">
        <f>_xlfn.STDEV.S('Лист1 (2)'!F59, 'Лист1 (2)'!F74,'Лист1 (2)'!F89)</f>
        <v>3.5553693557573852E-2</v>
      </c>
      <c r="F36" s="7">
        <f>_xlfn.STDEV.S('Лист1 (2)'!C104, 'Лист1 (2)'!D119,'Лист1 (2)'!D134)</f>
        <v>6.7697049906302306E-2</v>
      </c>
      <c r="G36" s="7">
        <f>_xlfn.STDEV.S('Лист1 (2)'!F104, 'Лист1 (2)'!F119,'Лист1 (2)'!F134)</f>
        <v>2.090533592799431E-2</v>
      </c>
      <c r="H36" s="7">
        <f>_xlfn.STDEV.S('Лист1 (2)'!C149, 'Лист1 (2)'!D164,'Лист1 (2)'!D179)</f>
        <v>7.7805876982922753E-2</v>
      </c>
      <c r="I36" s="7">
        <f>_xlfn.STDEV.S('Лист1 (2)'!F149, 'Лист1 (2)'!F164,'Лист1 (2)'!F179)</f>
        <v>5.7749744895676976E-2</v>
      </c>
      <c r="J36" s="7">
        <f>_xlfn.STDEV.S('Лист1 (2)'!C194, 'Лист1 (2)'!D209,'Лист1 (2)'!D224)</f>
        <v>9.1589931222377338E-2</v>
      </c>
      <c r="K36" s="7">
        <f>_xlfn.STDEV.S('Лист1 (2)'!F194, 'Лист1 (2)'!F209,'Лист1 (2)'!F224)</f>
        <v>7.7158277507607356E-2</v>
      </c>
      <c r="L36" s="7">
        <f>_xlfn.STDEV.S('Лист1 (2)'!C239, 'Лист1 (2)'!D254,'Лист1 (2)'!D269)</f>
        <v>8.9615772824879938E-2</v>
      </c>
      <c r="M36" s="7">
        <f>_xlfn.STDEV.S('Лист1 (2)'!F239, 'Лист1 (2)'!F254,'Лист1 (2)'!F269)</f>
        <v>4.3888361017457439E-2</v>
      </c>
    </row>
    <row r="37" spans="1:13" x14ac:dyDescent="0.3">
      <c r="A37" s="1" t="s">
        <v>81</v>
      </c>
      <c r="B37" s="7">
        <f>_xlfn.STDEV.S('Лист1 (2)'!D15, 'Лист1 (2)'!D30,'Лист1 (2)'!D45)</f>
        <v>0.20541643173642957</v>
      </c>
      <c r="C37" s="7">
        <f>_xlfn.STDEV.S('Лист1 (2)'!F15, 'Лист1 (2)'!F30,'Лист1 (2)'!F45)</f>
        <v>0.22335017399274493</v>
      </c>
      <c r="D37" s="7">
        <f>_xlfn.STDEV.S('Лист1 (2)'!C60, 'Лист1 (2)'!D75,'Лист1 (2)'!D90)</f>
        <v>0.25558927076016297</v>
      </c>
      <c r="E37" s="7">
        <f>_xlfn.STDEV.S('Лист1 (2)'!F60, 'Лист1 (2)'!F75,'Лист1 (2)'!F90)</f>
        <v>0.25570810286744899</v>
      </c>
      <c r="F37" s="7">
        <f>_xlfn.STDEV.S('Лист1 (2)'!C105, 'Лист1 (2)'!D120,'Лист1 (2)'!D135)</f>
        <v>0</v>
      </c>
      <c r="G37" s="7">
        <f>_xlfn.STDEV.S('Лист1 (2)'!F105, 'Лист1 (2)'!F120,'Лист1 (2)'!F135)</f>
        <v>0</v>
      </c>
      <c r="H37" s="7">
        <f>_xlfn.STDEV.S('Лист1 (2)'!C150, 'Лист1 (2)'!D165,'Лист1 (2)'!D180)</f>
        <v>0</v>
      </c>
      <c r="I37" s="7">
        <f>_xlfn.STDEV.S('Лист1 (2)'!F150, 'Лист1 (2)'!F165,'Лист1 (2)'!F180)</f>
        <v>0</v>
      </c>
      <c r="J37" s="7">
        <f>_xlfn.STDEV.S('Лист1 (2)'!C195, 'Лист1 (2)'!D210,'Лист1 (2)'!D225)</f>
        <v>0.11547592712354331</v>
      </c>
      <c r="K37" s="7">
        <f>_xlfn.STDEV.S('Лист1 (2)'!F195, 'Лист1 (2)'!F210,'Лист1 (2)'!F225)</f>
        <v>8.9300738272802382E-2</v>
      </c>
      <c r="L37" s="7">
        <f>_xlfn.STDEV.S('Лист1 (2)'!C240, 'Лист1 (2)'!D255,'Лист1 (2)'!D270)</f>
        <v>0.18180284853562217</v>
      </c>
      <c r="M37" s="7">
        <f>_xlfn.STDEV.S('Лист1 (2)'!F240, 'Лист1 (2)'!F255,'Лист1 (2)'!F270)</f>
        <v>0.14704749726539437</v>
      </c>
    </row>
    <row r="38" spans="1:13" x14ac:dyDescent="0.3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</sheetData>
  <mergeCells count="13">
    <mergeCell ref="L22:M22"/>
    <mergeCell ref="B21:K21"/>
    <mergeCell ref="B22:C22"/>
    <mergeCell ref="D22:E22"/>
    <mergeCell ref="F22:G22"/>
    <mergeCell ref="H22:I22"/>
    <mergeCell ref="J22:K22"/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EE42-C279-4A4B-BC66-7BB18FC1D1B0}">
  <dimension ref="A1:D10"/>
  <sheetViews>
    <sheetView workbookViewId="0">
      <selection sqref="A1:D10"/>
    </sheetView>
  </sheetViews>
  <sheetFormatPr defaultRowHeight="14.4" x14ac:dyDescent="0.3"/>
  <cols>
    <col min="1" max="1" width="23.6640625" customWidth="1"/>
    <col min="2" max="2" width="13.5546875" customWidth="1"/>
    <col min="3" max="3" width="11.33203125" customWidth="1"/>
    <col min="4" max="4" width="12.33203125" customWidth="1"/>
  </cols>
  <sheetData>
    <row r="1" spans="1:4" x14ac:dyDescent="0.3">
      <c r="A1" s="1"/>
      <c r="B1" s="1" t="s">
        <v>505</v>
      </c>
      <c r="C1" s="1" t="s">
        <v>506</v>
      </c>
      <c r="D1" s="1" t="s">
        <v>507</v>
      </c>
    </row>
    <row r="2" spans="1:4" x14ac:dyDescent="0.3">
      <c r="A2" s="1" t="s">
        <v>508</v>
      </c>
      <c r="B2" s="1">
        <v>255</v>
      </c>
      <c r="C2" s="1">
        <v>255</v>
      </c>
      <c r="D2" s="1">
        <v>255</v>
      </c>
    </row>
    <row r="3" spans="1:4" x14ac:dyDescent="0.3">
      <c r="A3" s="1" t="s">
        <v>504</v>
      </c>
      <c r="B3" s="1">
        <v>512</v>
      </c>
      <c r="C3" s="1">
        <v>512</v>
      </c>
      <c r="D3" s="1">
        <v>512</v>
      </c>
    </row>
    <row r="4" spans="1:4" x14ac:dyDescent="0.3">
      <c r="A4" s="1" t="s">
        <v>509</v>
      </c>
      <c r="B4" s="1">
        <v>8</v>
      </c>
      <c r="C4" s="1">
        <v>8</v>
      </c>
      <c r="D4" s="1">
        <v>8</v>
      </c>
    </row>
    <row r="5" spans="1:4" x14ac:dyDescent="0.3">
      <c r="A5" s="1" t="s">
        <v>510</v>
      </c>
      <c r="B5" s="1">
        <v>30</v>
      </c>
      <c r="C5" s="1">
        <v>30</v>
      </c>
      <c r="D5" s="1">
        <v>30</v>
      </c>
    </row>
    <row r="6" spans="1:4" x14ac:dyDescent="0.3">
      <c r="A6" s="1" t="s">
        <v>511</v>
      </c>
      <c r="B6" s="8">
        <v>1.0000000000000001E-5</v>
      </c>
      <c r="C6" s="8">
        <v>1.0000000000000001E-5</v>
      </c>
      <c r="D6" s="9"/>
    </row>
    <row r="7" spans="1:4" x14ac:dyDescent="0.3">
      <c r="A7" s="1" t="s">
        <v>512</v>
      </c>
      <c r="B7" s="8">
        <v>5.0000000000000001E-4</v>
      </c>
      <c r="C7" s="8">
        <v>5.0000000000000001E-4</v>
      </c>
      <c r="D7" s="1"/>
    </row>
    <row r="8" spans="1:4" x14ac:dyDescent="0.3">
      <c r="A8" s="1" t="s">
        <v>513</v>
      </c>
      <c r="B8" s="1" t="s">
        <v>514</v>
      </c>
      <c r="C8" s="8">
        <v>5.0000000000000001E-4</v>
      </c>
      <c r="D8" s="1"/>
    </row>
    <row r="9" spans="1:4" x14ac:dyDescent="0.3">
      <c r="A9" s="1" t="s">
        <v>515</v>
      </c>
      <c r="B9" s="1"/>
      <c r="C9" s="1"/>
      <c r="D9" s="8">
        <v>1E-4</v>
      </c>
    </row>
    <row r="10" spans="1:4" x14ac:dyDescent="0.3">
      <c r="A10" s="1" t="s">
        <v>516</v>
      </c>
      <c r="B10" s="1"/>
      <c r="C10" s="1"/>
      <c r="D10" s="8">
        <v>1E-4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D65EB0-6B7A-43BC-972E-440ABA9D1C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Лист1 (2)</vt:lpstr>
      <vt:lpstr>dice + recall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Николай Мелехин</cp:lastModifiedBy>
  <dcterms:created xsi:type="dcterms:W3CDTF">2015-06-05T18:19:34Z</dcterms:created>
  <dcterms:modified xsi:type="dcterms:W3CDTF">2026-08-10T11:12:26Z</dcterms:modified>
</cp:coreProperties>
</file>